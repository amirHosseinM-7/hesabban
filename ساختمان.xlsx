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22D35A5-A2A0-4494-A8DB-8BD5DB5167AA}" xr6:coauthVersionLast="47" xr6:coauthVersionMax="47" xr10:uidLastSave="{00000000-0000-0000-0000-000000000000}"/>
  <bookViews>
    <workbookView xWindow="-48" yWindow="-48" windowWidth="23136" windowHeight="12336" activeTab="4" xr2:uid="{00000000-000D-0000-FFFF-FFFF00000000}"/>
  </bookViews>
  <sheets>
    <sheet name="1401" sheetId="1" r:id="rId1"/>
    <sheet name="1402" sheetId="2" r:id="rId2"/>
    <sheet name="1403" sheetId="3" r:id="rId3"/>
    <sheet name="1404" sheetId="4" r:id="rId4"/>
    <sheet name="1405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" i="4" l="1"/>
  <c r="D54" i="4"/>
  <c r="C54" i="4"/>
  <c r="D54" i="6"/>
  <c r="C54" i="6"/>
  <c r="E54" i="6" l="1"/>
  <c r="C54" i="3"/>
  <c r="D54" i="3"/>
  <c r="E54" i="3" s="1"/>
  <c r="C55" i="2" l="1"/>
  <c r="D55" i="2"/>
  <c r="G5" i="2"/>
  <c r="F4" i="2"/>
  <c r="E55" i="2" l="1"/>
  <c r="E57" i="2" s="1"/>
  <c r="C54" i="1"/>
  <c r="D54" i="1" l="1"/>
  <c r="E54" i="1" l="1"/>
</calcChain>
</file>

<file path=xl/sharedStrings.xml><?xml version="1.0" encoding="utf-8"?>
<sst xmlns="http://schemas.openxmlformats.org/spreadsheetml/2006/main" count="267" uniqueCount="78">
  <si>
    <t>مبلغ شارژ</t>
  </si>
  <si>
    <t>هزینه</t>
  </si>
  <si>
    <t>ماه</t>
  </si>
  <si>
    <t xml:space="preserve">واحد </t>
  </si>
  <si>
    <t>شرح هزینه</t>
  </si>
  <si>
    <t>انتقال از سال 1400</t>
  </si>
  <si>
    <t>فروردین</t>
  </si>
  <si>
    <t>نظافت</t>
  </si>
  <si>
    <t>آسانسور</t>
  </si>
  <si>
    <t>اردیبهشت</t>
  </si>
  <si>
    <t>خرداد</t>
  </si>
  <si>
    <t>تیر</t>
  </si>
  <si>
    <t>مرداد</t>
  </si>
  <si>
    <t>شهریور</t>
  </si>
  <si>
    <t>مهر</t>
  </si>
  <si>
    <t>دی</t>
  </si>
  <si>
    <t>بهمن</t>
  </si>
  <si>
    <t>اسفند</t>
  </si>
  <si>
    <t>جمع کل هزینه ها</t>
  </si>
  <si>
    <t>تعمیر سرامیک</t>
  </si>
  <si>
    <t>برق</t>
  </si>
  <si>
    <t>دسته تی</t>
  </si>
  <si>
    <t>سنسور آسانسور</t>
  </si>
  <si>
    <t>وایتکس و تاید</t>
  </si>
  <si>
    <t xml:space="preserve">آبان </t>
  </si>
  <si>
    <t xml:space="preserve">آذر </t>
  </si>
  <si>
    <t>آسانسور 8/18</t>
  </si>
  <si>
    <t>نظافت 10/24</t>
  </si>
  <si>
    <t>نظافت 9/9</t>
  </si>
  <si>
    <t>اسانسور 9/26</t>
  </si>
  <si>
    <t>هزینه درب ورودی</t>
  </si>
  <si>
    <t xml:space="preserve"> آسانسور 26-10</t>
  </si>
  <si>
    <t>خرید کارتک</t>
  </si>
  <si>
    <t>آسانسور  11/25</t>
  </si>
  <si>
    <t>نظافت 4-12</t>
  </si>
  <si>
    <t>وایتکس</t>
  </si>
  <si>
    <t>تاید</t>
  </si>
  <si>
    <t>نظافت 12/25</t>
  </si>
  <si>
    <t>توری</t>
  </si>
  <si>
    <t>آسانسور 1/29</t>
  </si>
  <si>
    <t>نظافت 2/28</t>
  </si>
  <si>
    <t>هزینه دوربین</t>
  </si>
  <si>
    <t xml:space="preserve"> آسانسور </t>
  </si>
  <si>
    <t>آسانسور 3/27</t>
  </si>
  <si>
    <t>کیسه زباله</t>
  </si>
  <si>
    <t>لامپ</t>
  </si>
  <si>
    <t>نظافت 7/27</t>
  </si>
  <si>
    <t>آسانسور 7/27</t>
  </si>
  <si>
    <t>نظافت 9/2</t>
  </si>
  <si>
    <t>خرابی برق9/10</t>
  </si>
  <si>
    <t>انتقال از سال 1401</t>
  </si>
  <si>
    <t>اسانسور 9/20</t>
  </si>
  <si>
    <t>نظافت 9/30</t>
  </si>
  <si>
    <t>پادری10/8(دوجفت)</t>
  </si>
  <si>
    <t xml:space="preserve"> آسانسور 10/16</t>
  </si>
  <si>
    <t>نظافت 10/28</t>
  </si>
  <si>
    <t>نظافت 26-11</t>
  </si>
  <si>
    <t>شیشه شوی 12/3</t>
  </si>
  <si>
    <t>نظافت 12/24</t>
  </si>
  <si>
    <t>آسانسور 12/27</t>
  </si>
  <si>
    <t>خرید لامپ</t>
  </si>
  <si>
    <t>خرید لامپ( آقا حامد)</t>
  </si>
  <si>
    <t>حفاظ دیوار</t>
  </si>
  <si>
    <t>انتقال از سال 1402</t>
  </si>
  <si>
    <t>دسته تی+ تی گنفی+پادری</t>
  </si>
  <si>
    <t>اینترنت</t>
  </si>
  <si>
    <t>لامپ پارکینگ و راه پله</t>
  </si>
  <si>
    <t>لامپ آقا حامد پشت بام و کوچه</t>
  </si>
  <si>
    <t>چسب فوری</t>
  </si>
  <si>
    <t>توری و چسب</t>
  </si>
  <si>
    <t>لوله پشت بوم</t>
  </si>
  <si>
    <t>خرید شوینده</t>
  </si>
  <si>
    <t>دوربین</t>
  </si>
  <si>
    <t>انتقال از سال 1403</t>
  </si>
  <si>
    <t>آسانسور تعویض باتری</t>
  </si>
  <si>
    <t>تی</t>
  </si>
  <si>
    <t>انتقال از سال 1404</t>
  </si>
  <si>
    <t>وایتکس پودر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</si>
</sst>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Vazir"/>
      <family val="2"/>
    </font>
    <font>
      <sz val="8"/>
      <color theme="1"/>
      <name val="Vazir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164" fontId="0" fillId="0" borderId="0" xfId="1" applyNumberFormat="1" applyFont="1"/>
    <xf numFmtId="0" fontId="0" fillId="0" borderId="1" xfId="0" applyBorder="1"/>
    <xf numFmtId="164" fontId="0" fillId="0" borderId="1" xfId="1" applyNumberFormat="1" applyFont="1" applyBorder="1"/>
    <xf numFmtId="164" fontId="0" fillId="0" borderId="0" xfId="1" applyNumberFormat="1" applyFont="1" applyBorder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164" fontId="0" fillId="0" borderId="5" xfId="1" applyNumberFormat="1" applyFont="1" applyFill="1" applyBorder="1"/>
    <xf numFmtId="164" fontId="0" fillId="0" borderId="0" xfId="0" applyNumberFormat="1"/>
    <xf numFmtId="0" fontId="0" fillId="0" borderId="1" xfId="0" applyBorder="1" applyAlignment="1">
      <alignment horizontal="center"/>
    </xf>
    <xf numFmtId="0" fontId="2" fillId="0" borderId="1" xfId="0" applyFont="1" applyBorder="1"/>
    <xf numFmtId="164" fontId="2" fillId="0" borderId="1" xfId="1" applyNumberFormat="1" applyFont="1" applyBorder="1"/>
    <xf numFmtId="0" fontId="2" fillId="0" borderId="0" xfId="0" applyFont="1"/>
    <xf numFmtId="0" fontId="2" fillId="0" borderId="1" xfId="0" applyFont="1" applyBorder="1" applyAlignment="1">
      <alignment horizontal="center"/>
    </xf>
    <xf numFmtId="164" fontId="2" fillId="0" borderId="5" xfId="1" applyNumberFormat="1" applyFont="1" applyFill="1" applyBorder="1"/>
    <xf numFmtId="0" fontId="2" fillId="0" borderId="1" xfId="0" applyFont="1" applyBorder="1" applyAlignment="1">
      <alignment vertical="center"/>
    </xf>
    <xf numFmtId="164" fontId="2" fillId="0" borderId="0" xfId="0" applyNumberFormat="1" applyFont="1"/>
    <xf numFmtId="0" fontId="3" fillId="0" borderId="1" xfId="0" applyFont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253"/>
  <sheetViews>
    <sheetView rightToLeft="1" topLeftCell="A64" zoomScale="115" zoomScaleNormal="100" workbookViewId="0">
      <selection activeCell="G53" sqref="G53"/>
    </sheetView>
  </sheetViews>
  <sheetFormatPr defaultRowHeight="14.4" x14ac:dyDescent="0.3"/>
  <cols>
    <col min="1" max="1" width="17.5546875" customWidth="1"/>
    <col min="3" max="3" width="21" customWidth="1"/>
    <col min="4" max="4" width="24.33203125" customWidth="1"/>
    <col min="5" max="5" width="11.77734375" customWidth="1"/>
  </cols>
  <sheetData>
    <row r="1" spans="1:5" x14ac:dyDescent="0.3">
      <c r="A1" s="2" t="s">
        <v>2</v>
      </c>
      <c r="B1" s="2" t="s">
        <v>3</v>
      </c>
      <c r="C1" s="2" t="s">
        <v>0</v>
      </c>
      <c r="D1" s="2" t="s">
        <v>1</v>
      </c>
      <c r="E1" s="2" t="s">
        <v>4</v>
      </c>
    </row>
    <row r="2" spans="1:5" x14ac:dyDescent="0.3">
      <c r="A2" s="2" t="s">
        <v>5</v>
      </c>
      <c r="B2" s="2"/>
      <c r="C2" s="3">
        <v>15585000</v>
      </c>
      <c r="D2" s="2">
        <v>0</v>
      </c>
      <c r="E2" s="2"/>
    </row>
    <row r="3" spans="1:5" x14ac:dyDescent="0.3">
      <c r="A3" s="22" t="s">
        <v>6</v>
      </c>
      <c r="B3" s="2">
        <v>1</v>
      </c>
      <c r="C3" s="3">
        <v>700000</v>
      </c>
      <c r="D3" s="3">
        <v>1000000</v>
      </c>
      <c r="E3" s="2" t="s">
        <v>7</v>
      </c>
    </row>
    <row r="4" spans="1:5" x14ac:dyDescent="0.3">
      <c r="A4" s="22"/>
      <c r="B4" s="2">
        <v>2</v>
      </c>
      <c r="C4" s="3">
        <v>700000</v>
      </c>
      <c r="D4" s="3">
        <v>1000000</v>
      </c>
      <c r="E4" s="2" t="s">
        <v>8</v>
      </c>
    </row>
    <row r="5" spans="1:5" x14ac:dyDescent="0.3">
      <c r="A5" s="22"/>
      <c r="B5" s="2">
        <v>3</v>
      </c>
      <c r="C5" s="3">
        <v>1000000</v>
      </c>
      <c r="D5" s="3"/>
      <c r="E5" s="2"/>
    </row>
    <row r="6" spans="1:5" x14ac:dyDescent="0.3">
      <c r="A6" s="22"/>
      <c r="B6" s="2">
        <v>4</v>
      </c>
      <c r="C6" s="3">
        <v>700000</v>
      </c>
      <c r="D6" s="3"/>
      <c r="E6" s="2"/>
    </row>
    <row r="7" spans="1:5" x14ac:dyDescent="0.3">
      <c r="A7" s="22" t="s">
        <v>9</v>
      </c>
      <c r="B7" s="2">
        <v>1</v>
      </c>
      <c r="C7" s="3">
        <v>1000000</v>
      </c>
      <c r="D7" s="3">
        <v>1000000</v>
      </c>
      <c r="E7" s="2" t="s">
        <v>7</v>
      </c>
    </row>
    <row r="8" spans="1:5" x14ac:dyDescent="0.3">
      <c r="A8" s="22"/>
      <c r="B8" s="2">
        <v>2</v>
      </c>
      <c r="C8" s="3">
        <v>1500000</v>
      </c>
      <c r="D8" s="3">
        <v>1000000</v>
      </c>
      <c r="E8" s="2" t="s">
        <v>8</v>
      </c>
    </row>
    <row r="9" spans="1:5" x14ac:dyDescent="0.3">
      <c r="A9" s="22"/>
      <c r="B9" s="2">
        <v>3</v>
      </c>
      <c r="C9" s="3">
        <v>1000000</v>
      </c>
      <c r="D9" s="3">
        <v>1500000</v>
      </c>
      <c r="E9" s="2" t="s">
        <v>19</v>
      </c>
    </row>
    <row r="10" spans="1:5" x14ac:dyDescent="0.3">
      <c r="A10" s="22"/>
      <c r="B10" s="2">
        <v>4</v>
      </c>
      <c r="C10" s="3">
        <v>1000000</v>
      </c>
      <c r="D10" s="3">
        <v>278000</v>
      </c>
      <c r="E10" s="2" t="s">
        <v>20</v>
      </c>
    </row>
    <row r="11" spans="1:5" x14ac:dyDescent="0.3">
      <c r="A11" s="22" t="s">
        <v>10</v>
      </c>
      <c r="B11" s="2">
        <v>1</v>
      </c>
      <c r="C11" s="3">
        <v>1000000</v>
      </c>
      <c r="D11" s="3">
        <v>1000000</v>
      </c>
      <c r="E11" s="2" t="s">
        <v>7</v>
      </c>
    </row>
    <row r="12" spans="1:5" x14ac:dyDescent="0.3">
      <c r="A12" s="22"/>
      <c r="B12" s="2">
        <v>2</v>
      </c>
      <c r="C12" s="3">
        <v>1000000</v>
      </c>
      <c r="D12" s="3">
        <v>1000000</v>
      </c>
      <c r="E12" s="2" t="s">
        <v>8</v>
      </c>
    </row>
    <row r="13" spans="1:5" x14ac:dyDescent="0.3">
      <c r="A13" s="22"/>
      <c r="B13" s="2">
        <v>3</v>
      </c>
      <c r="C13" s="3">
        <v>1000000</v>
      </c>
      <c r="D13" s="3">
        <v>227000</v>
      </c>
      <c r="E13" s="2" t="s">
        <v>20</v>
      </c>
    </row>
    <row r="14" spans="1:5" x14ac:dyDescent="0.3">
      <c r="A14" s="22"/>
      <c r="B14" s="2">
        <v>4</v>
      </c>
      <c r="C14" s="3">
        <v>1000000</v>
      </c>
      <c r="D14" s="3"/>
      <c r="E14" s="2"/>
    </row>
    <row r="15" spans="1:5" x14ac:dyDescent="0.3">
      <c r="A15" s="22" t="s">
        <v>11</v>
      </c>
      <c r="B15" s="2">
        <v>1</v>
      </c>
      <c r="C15" s="3">
        <v>1000000</v>
      </c>
      <c r="D15" s="3">
        <v>1000000</v>
      </c>
      <c r="E15" s="2" t="s">
        <v>7</v>
      </c>
    </row>
    <row r="16" spans="1:5" x14ac:dyDescent="0.3">
      <c r="A16" s="22"/>
      <c r="B16" s="2">
        <v>2</v>
      </c>
      <c r="C16" s="3">
        <v>1000000</v>
      </c>
      <c r="D16" s="3">
        <v>1000000</v>
      </c>
      <c r="E16" s="2" t="s">
        <v>8</v>
      </c>
    </row>
    <row r="17" spans="1:5" x14ac:dyDescent="0.3">
      <c r="A17" s="22"/>
      <c r="B17" s="2">
        <v>3</v>
      </c>
      <c r="C17" s="3">
        <v>1000000</v>
      </c>
      <c r="D17" s="3">
        <v>550000</v>
      </c>
      <c r="E17" s="2" t="s">
        <v>21</v>
      </c>
    </row>
    <row r="18" spans="1:5" x14ac:dyDescent="0.3">
      <c r="A18" s="22"/>
      <c r="B18" s="2">
        <v>4</v>
      </c>
      <c r="C18" s="3">
        <v>1000000</v>
      </c>
      <c r="D18" s="3"/>
      <c r="E18" s="2"/>
    </row>
    <row r="19" spans="1:5" x14ac:dyDescent="0.3">
      <c r="A19" s="22" t="s">
        <v>12</v>
      </c>
      <c r="B19" s="2">
        <v>1</v>
      </c>
      <c r="C19" s="3">
        <v>1000000</v>
      </c>
      <c r="D19" s="3">
        <v>1000000</v>
      </c>
      <c r="E19" s="2" t="s">
        <v>7</v>
      </c>
    </row>
    <row r="20" spans="1:5" x14ac:dyDescent="0.3">
      <c r="A20" s="22"/>
      <c r="B20" s="2">
        <v>2</v>
      </c>
      <c r="C20" s="3">
        <v>1000000</v>
      </c>
      <c r="D20" s="3">
        <v>1000000</v>
      </c>
      <c r="E20" s="2" t="s">
        <v>8</v>
      </c>
    </row>
    <row r="21" spans="1:5" x14ac:dyDescent="0.3">
      <c r="A21" s="22"/>
      <c r="B21" s="2">
        <v>3</v>
      </c>
      <c r="C21" s="3">
        <v>1000000</v>
      </c>
      <c r="D21" s="3">
        <v>382000</v>
      </c>
      <c r="E21" s="2" t="s">
        <v>20</v>
      </c>
    </row>
    <row r="22" spans="1:5" x14ac:dyDescent="0.3">
      <c r="A22" s="22"/>
      <c r="B22" s="2">
        <v>4</v>
      </c>
      <c r="C22" s="3">
        <v>1000000</v>
      </c>
      <c r="D22" s="3">
        <v>2500000</v>
      </c>
      <c r="E22" s="2" t="s">
        <v>22</v>
      </c>
    </row>
    <row r="23" spans="1:5" x14ac:dyDescent="0.3">
      <c r="A23" s="22" t="s">
        <v>13</v>
      </c>
      <c r="B23" s="2">
        <v>1</v>
      </c>
      <c r="C23" s="3">
        <v>1000000</v>
      </c>
      <c r="D23" s="3">
        <v>2500000</v>
      </c>
      <c r="E23" s="2" t="s">
        <v>7</v>
      </c>
    </row>
    <row r="24" spans="1:5" x14ac:dyDescent="0.3">
      <c r="A24" s="22"/>
      <c r="B24" s="2">
        <v>2</v>
      </c>
      <c r="C24" s="3">
        <v>1000000</v>
      </c>
      <c r="D24" s="3">
        <v>1200000</v>
      </c>
      <c r="E24" s="2" t="s">
        <v>8</v>
      </c>
    </row>
    <row r="25" spans="1:5" x14ac:dyDescent="0.3">
      <c r="A25" s="22"/>
      <c r="B25" s="2">
        <v>3</v>
      </c>
      <c r="C25" s="3">
        <v>1000000</v>
      </c>
      <c r="D25" s="3">
        <v>1000000</v>
      </c>
      <c r="E25" s="2" t="s">
        <v>23</v>
      </c>
    </row>
    <row r="26" spans="1:5" x14ac:dyDescent="0.3">
      <c r="A26" s="22"/>
      <c r="B26" s="2">
        <v>4</v>
      </c>
      <c r="C26" s="3">
        <v>1000000</v>
      </c>
      <c r="D26" s="3">
        <v>336000</v>
      </c>
      <c r="E26" s="2" t="s">
        <v>20</v>
      </c>
    </row>
    <row r="27" spans="1:5" x14ac:dyDescent="0.3">
      <c r="A27" s="22" t="s">
        <v>14</v>
      </c>
      <c r="B27" s="2">
        <v>1</v>
      </c>
      <c r="C27" s="3">
        <v>1000000</v>
      </c>
      <c r="D27" s="3"/>
      <c r="E27" s="2"/>
    </row>
    <row r="28" spans="1:5" x14ac:dyDescent="0.3">
      <c r="A28" s="22"/>
      <c r="B28" s="2">
        <v>2</v>
      </c>
      <c r="C28" s="3">
        <v>1000000</v>
      </c>
      <c r="D28" s="3">
        <v>2200000</v>
      </c>
      <c r="E28" s="2" t="s">
        <v>8</v>
      </c>
    </row>
    <row r="29" spans="1:5" x14ac:dyDescent="0.3">
      <c r="A29" s="22"/>
      <c r="B29" s="2">
        <v>3</v>
      </c>
      <c r="C29" s="3">
        <v>1000000</v>
      </c>
      <c r="D29" s="3">
        <v>1000000</v>
      </c>
      <c r="E29" s="2" t="s">
        <v>7</v>
      </c>
    </row>
    <row r="30" spans="1:5" ht="14.4" customHeight="1" x14ac:dyDescent="0.3">
      <c r="A30" s="22"/>
      <c r="B30" s="2">
        <v>4</v>
      </c>
      <c r="C30" s="3">
        <v>1000000</v>
      </c>
      <c r="D30" s="3"/>
      <c r="E30" s="2"/>
    </row>
    <row r="31" spans="1:5" x14ac:dyDescent="0.3">
      <c r="A31" s="22" t="s">
        <v>24</v>
      </c>
      <c r="B31" s="2">
        <v>1</v>
      </c>
      <c r="C31" s="3">
        <v>1000000</v>
      </c>
      <c r="D31" s="3">
        <v>332000</v>
      </c>
      <c r="E31" s="2" t="s">
        <v>20</v>
      </c>
    </row>
    <row r="32" spans="1:5" x14ac:dyDescent="0.3">
      <c r="A32" s="22"/>
      <c r="B32" s="2">
        <v>2</v>
      </c>
      <c r="C32" s="3">
        <v>1000000</v>
      </c>
      <c r="D32" s="3">
        <v>1000000</v>
      </c>
      <c r="E32" s="2" t="s">
        <v>26</v>
      </c>
    </row>
    <row r="33" spans="1:5" x14ac:dyDescent="0.3">
      <c r="A33" s="22"/>
      <c r="B33" s="2">
        <v>3</v>
      </c>
      <c r="C33" s="3">
        <v>1000000</v>
      </c>
      <c r="D33" s="3"/>
      <c r="E33" s="2"/>
    </row>
    <row r="34" spans="1:5" x14ac:dyDescent="0.3">
      <c r="A34" s="22"/>
      <c r="B34" s="2">
        <v>4</v>
      </c>
      <c r="C34" s="3">
        <v>1000000</v>
      </c>
      <c r="D34" s="3"/>
      <c r="E34" s="2"/>
    </row>
    <row r="35" spans="1:5" x14ac:dyDescent="0.3">
      <c r="A35" s="22" t="s">
        <v>25</v>
      </c>
      <c r="B35" s="2">
        <v>1</v>
      </c>
      <c r="C35" s="3">
        <v>1000000</v>
      </c>
      <c r="D35" s="3">
        <v>1000000</v>
      </c>
      <c r="E35" s="2" t="s">
        <v>28</v>
      </c>
    </row>
    <row r="36" spans="1:5" x14ac:dyDescent="0.3">
      <c r="A36" s="22"/>
      <c r="B36" s="2">
        <v>2</v>
      </c>
      <c r="C36" s="3">
        <v>1000000</v>
      </c>
      <c r="D36" s="3">
        <v>1000000</v>
      </c>
      <c r="E36" s="2" t="s">
        <v>29</v>
      </c>
    </row>
    <row r="37" spans="1:5" x14ac:dyDescent="0.3">
      <c r="A37" s="22"/>
      <c r="B37" s="2">
        <v>3</v>
      </c>
      <c r="C37" s="3">
        <v>1000000</v>
      </c>
      <c r="D37" s="3">
        <v>150000</v>
      </c>
      <c r="E37" s="2" t="s">
        <v>32</v>
      </c>
    </row>
    <row r="38" spans="1:5" x14ac:dyDescent="0.3">
      <c r="A38" s="22"/>
      <c r="B38" s="2">
        <v>4</v>
      </c>
      <c r="C38" s="3">
        <v>1000000</v>
      </c>
      <c r="D38" s="3"/>
      <c r="E38" s="2"/>
    </row>
    <row r="39" spans="1:5" x14ac:dyDescent="0.3">
      <c r="A39" s="22" t="s">
        <v>15</v>
      </c>
      <c r="B39" s="2">
        <v>1</v>
      </c>
      <c r="C39" s="3">
        <v>1000000</v>
      </c>
      <c r="D39" s="3">
        <v>2000000</v>
      </c>
      <c r="E39" s="2" t="s">
        <v>27</v>
      </c>
    </row>
    <row r="40" spans="1:5" x14ac:dyDescent="0.3">
      <c r="A40" s="22"/>
      <c r="B40" s="2">
        <v>2</v>
      </c>
      <c r="C40" s="3">
        <v>1000000</v>
      </c>
      <c r="D40" s="3">
        <v>1000000</v>
      </c>
      <c r="E40" s="2" t="s">
        <v>31</v>
      </c>
    </row>
    <row r="41" spans="1:5" x14ac:dyDescent="0.3">
      <c r="A41" s="22"/>
      <c r="B41" s="2">
        <v>3</v>
      </c>
      <c r="C41" s="3">
        <v>1000000</v>
      </c>
      <c r="D41" s="3">
        <v>3000000</v>
      </c>
      <c r="E41" s="2" t="s">
        <v>30</v>
      </c>
    </row>
    <row r="42" spans="1:5" x14ac:dyDescent="0.3">
      <c r="A42" s="22"/>
      <c r="B42" s="2">
        <v>4</v>
      </c>
      <c r="C42" s="3">
        <v>1000000</v>
      </c>
      <c r="D42" s="3">
        <v>323000</v>
      </c>
      <c r="E42" s="2" t="s">
        <v>20</v>
      </c>
    </row>
    <row r="43" spans="1:5" x14ac:dyDescent="0.3">
      <c r="A43" s="24" t="s">
        <v>16</v>
      </c>
      <c r="B43" s="2">
        <v>1</v>
      </c>
      <c r="C43" s="3">
        <v>1000000</v>
      </c>
      <c r="D43" s="3"/>
      <c r="E43" s="2"/>
    </row>
    <row r="44" spans="1:5" ht="14.4" customHeight="1" x14ac:dyDescent="0.3">
      <c r="A44" s="25"/>
      <c r="B44" s="2">
        <v>2</v>
      </c>
      <c r="C44" s="3">
        <v>1000000</v>
      </c>
      <c r="D44" s="3">
        <v>1000000</v>
      </c>
      <c r="E44" s="2" t="s">
        <v>33</v>
      </c>
    </row>
    <row r="45" spans="1:5" x14ac:dyDescent="0.3">
      <c r="A45" s="25"/>
      <c r="B45" s="2">
        <v>3</v>
      </c>
      <c r="C45" s="3">
        <v>1000000</v>
      </c>
      <c r="D45" s="3">
        <v>1000000</v>
      </c>
      <c r="E45" s="2"/>
    </row>
    <row r="46" spans="1:5" ht="14.4" customHeight="1" x14ac:dyDescent="0.3">
      <c r="A46" s="26"/>
      <c r="B46" s="2">
        <v>4</v>
      </c>
      <c r="C46" s="3">
        <v>1000000</v>
      </c>
      <c r="D46" s="3">
        <v>1750000</v>
      </c>
      <c r="E46" s="2" t="s">
        <v>64</v>
      </c>
    </row>
    <row r="47" spans="1:5" ht="14.4" customHeight="1" x14ac:dyDescent="0.3">
      <c r="A47" s="24" t="s">
        <v>17</v>
      </c>
      <c r="B47" s="2">
        <v>1</v>
      </c>
      <c r="C47" s="3">
        <v>1000000</v>
      </c>
      <c r="D47" s="3">
        <v>2000000</v>
      </c>
      <c r="E47" s="2" t="s">
        <v>34</v>
      </c>
    </row>
    <row r="48" spans="1:5" ht="14.4" customHeight="1" x14ac:dyDescent="0.3">
      <c r="A48" s="25"/>
      <c r="B48" s="2">
        <v>2</v>
      </c>
      <c r="C48" s="3">
        <v>3000000</v>
      </c>
      <c r="D48" s="3"/>
      <c r="E48" s="2"/>
    </row>
    <row r="49" spans="1:5" ht="14.4" customHeight="1" x14ac:dyDescent="0.3">
      <c r="A49" s="25"/>
      <c r="B49" s="2">
        <v>3</v>
      </c>
      <c r="C49" s="3">
        <v>1000000</v>
      </c>
      <c r="D49" s="3">
        <v>400000</v>
      </c>
      <c r="E49" s="2" t="s">
        <v>35</v>
      </c>
    </row>
    <row r="50" spans="1:5" ht="14.4" customHeight="1" x14ac:dyDescent="0.3">
      <c r="A50" s="25"/>
      <c r="B50" s="2">
        <v>4</v>
      </c>
      <c r="C50" s="3">
        <v>1000000</v>
      </c>
      <c r="D50" s="3">
        <v>1000000</v>
      </c>
      <c r="E50" s="2" t="s">
        <v>36</v>
      </c>
    </row>
    <row r="51" spans="1:5" ht="14.4" customHeight="1" x14ac:dyDescent="0.3">
      <c r="A51" s="25"/>
      <c r="B51" s="2"/>
      <c r="C51" s="3"/>
      <c r="D51" s="3">
        <v>1000000</v>
      </c>
      <c r="E51" s="2" t="s">
        <v>8</v>
      </c>
    </row>
    <row r="52" spans="1:5" ht="14.4" customHeight="1" x14ac:dyDescent="0.3">
      <c r="A52" s="25"/>
      <c r="B52" s="2"/>
      <c r="C52" s="3"/>
      <c r="D52" s="3">
        <v>2000000</v>
      </c>
      <c r="E52" s="2" t="s">
        <v>37</v>
      </c>
    </row>
    <row r="53" spans="1:5" ht="14.4" customHeight="1" x14ac:dyDescent="0.3">
      <c r="A53" s="26"/>
      <c r="B53" s="2">
        <v>4</v>
      </c>
      <c r="C53" s="3">
        <v>1000000</v>
      </c>
      <c r="D53" s="3">
        <v>400000</v>
      </c>
      <c r="E53" s="2" t="s">
        <v>20</v>
      </c>
    </row>
    <row r="54" spans="1:5" x14ac:dyDescent="0.3">
      <c r="A54" s="6" t="s">
        <v>18</v>
      </c>
      <c r="B54" s="2"/>
      <c r="C54" s="3">
        <f>SUM(C2:C53)</f>
        <v>66185000</v>
      </c>
      <c r="D54" s="3">
        <f>SUM(D2:D53)</f>
        <v>44028000</v>
      </c>
      <c r="E54" s="3">
        <f>C54-D54</f>
        <v>22157000</v>
      </c>
    </row>
    <row r="55" spans="1:5" x14ac:dyDescent="0.3">
      <c r="A55" s="5"/>
      <c r="C55" s="4"/>
      <c r="D55" s="4"/>
    </row>
    <row r="56" spans="1:5" x14ac:dyDescent="0.3">
      <c r="A56" s="5"/>
      <c r="C56" s="4"/>
      <c r="D56" s="4"/>
    </row>
    <row r="57" spans="1:5" x14ac:dyDescent="0.3">
      <c r="A57" s="5"/>
      <c r="C57" s="4"/>
      <c r="D57" s="4"/>
    </row>
    <row r="58" spans="1:5" x14ac:dyDescent="0.3">
      <c r="A58" s="5"/>
      <c r="C58" s="4"/>
      <c r="D58" s="4"/>
    </row>
    <row r="59" spans="1:5" x14ac:dyDescent="0.3">
      <c r="A59" s="5"/>
      <c r="C59" s="4"/>
      <c r="D59" s="4"/>
    </row>
    <row r="60" spans="1:5" x14ac:dyDescent="0.3">
      <c r="A60" s="5"/>
      <c r="C60" s="4"/>
      <c r="D60" s="4"/>
    </row>
    <row r="61" spans="1:5" x14ac:dyDescent="0.3">
      <c r="A61" s="5"/>
      <c r="C61" s="4"/>
      <c r="D61" s="4"/>
    </row>
    <row r="62" spans="1:5" x14ac:dyDescent="0.3">
      <c r="A62" s="23"/>
      <c r="C62" s="4"/>
      <c r="D62" s="4"/>
    </row>
    <row r="63" spans="1:5" x14ac:dyDescent="0.3">
      <c r="A63" s="23"/>
      <c r="C63" s="4"/>
      <c r="D63" s="4"/>
    </row>
    <row r="64" spans="1:5" x14ac:dyDescent="0.3">
      <c r="A64" s="23"/>
      <c r="C64" s="4"/>
      <c r="D64" s="4"/>
    </row>
    <row r="65" spans="1:4" x14ac:dyDescent="0.3">
      <c r="A65" s="23"/>
      <c r="C65" s="4"/>
      <c r="D65" s="4"/>
    </row>
    <row r="66" spans="1:4" x14ac:dyDescent="0.3">
      <c r="C66" s="4"/>
      <c r="D66" s="1"/>
    </row>
    <row r="67" spans="1:4" x14ac:dyDescent="0.3">
      <c r="C67" s="4"/>
      <c r="D67" s="1"/>
    </row>
    <row r="68" spans="1:4" x14ac:dyDescent="0.3">
      <c r="C68" s="4"/>
      <c r="D68" s="1"/>
    </row>
    <row r="69" spans="1:4" x14ac:dyDescent="0.3">
      <c r="C69" s="4"/>
      <c r="D69" s="1"/>
    </row>
    <row r="70" spans="1:4" x14ac:dyDescent="0.3">
      <c r="C70" s="4"/>
      <c r="D70" s="1"/>
    </row>
    <row r="71" spans="1:4" x14ac:dyDescent="0.3">
      <c r="C71" s="4"/>
      <c r="D71" s="1"/>
    </row>
    <row r="72" spans="1:4" x14ac:dyDescent="0.3">
      <c r="C72" s="4"/>
      <c r="D72" s="1"/>
    </row>
    <row r="73" spans="1:4" x14ac:dyDescent="0.3">
      <c r="C73" s="4"/>
      <c r="D73" s="1"/>
    </row>
    <row r="74" spans="1:4" x14ac:dyDescent="0.3">
      <c r="C74" s="4"/>
      <c r="D74" s="1"/>
    </row>
    <row r="75" spans="1:4" x14ac:dyDescent="0.3">
      <c r="C75" s="4"/>
      <c r="D75" s="1"/>
    </row>
    <row r="76" spans="1:4" x14ac:dyDescent="0.3">
      <c r="C76" s="4"/>
      <c r="D76" s="1"/>
    </row>
    <row r="77" spans="1:4" x14ac:dyDescent="0.3">
      <c r="C77" s="4"/>
      <c r="D77" s="1"/>
    </row>
    <row r="78" spans="1:4" x14ac:dyDescent="0.3">
      <c r="C78" s="4"/>
      <c r="D78" s="1"/>
    </row>
    <row r="79" spans="1:4" x14ac:dyDescent="0.3">
      <c r="C79" s="4"/>
      <c r="D79" s="1"/>
    </row>
    <row r="80" spans="1:4" x14ac:dyDescent="0.3">
      <c r="C80" s="4"/>
      <c r="D80" s="1"/>
    </row>
    <row r="81" spans="3:4" x14ac:dyDescent="0.3">
      <c r="C81" s="4"/>
      <c r="D81" s="1"/>
    </row>
    <row r="82" spans="3:4" x14ac:dyDescent="0.3">
      <c r="C82" s="4"/>
      <c r="D82" s="1"/>
    </row>
    <row r="83" spans="3:4" x14ac:dyDescent="0.3">
      <c r="C83" s="4"/>
      <c r="D83" s="1"/>
    </row>
    <row r="84" spans="3:4" x14ac:dyDescent="0.3">
      <c r="C84" s="4"/>
      <c r="D84" s="1"/>
    </row>
    <row r="85" spans="3:4" x14ac:dyDescent="0.3">
      <c r="C85" s="4"/>
      <c r="D85" s="1"/>
    </row>
    <row r="86" spans="3:4" x14ac:dyDescent="0.3">
      <c r="C86" s="4"/>
      <c r="D86" s="1"/>
    </row>
    <row r="87" spans="3:4" x14ac:dyDescent="0.3">
      <c r="C87" s="4"/>
      <c r="D87" s="1"/>
    </row>
    <row r="88" spans="3:4" x14ac:dyDescent="0.3">
      <c r="C88" s="4"/>
      <c r="D88" s="1"/>
    </row>
    <row r="89" spans="3:4" x14ac:dyDescent="0.3">
      <c r="C89" s="4"/>
      <c r="D89" s="1"/>
    </row>
    <row r="90" spans="3:4" x14ac:dyDescent="0.3">
      <c r="C90" s="4"/>
      <c r="D90" s="1"/>
    </row>
    <row r="91" spans="3:4" x14ac:dyDescent="0.3">
      <c r="C91" s="4"/>
      <c r="D91" s="1"/>
    </row>
    <row r="92" spans="3:4" x14ac:dyDescent="0.3">
      <c r="C92" s="4"/>
      <c r="D92" s="1"/>
    </row>
    <row r="93" spans="3:4" x14ac:dyDescent="0.3">
      <c r="C93" s="4"/>
      <c r="D93" s="1"/>
    </row>
    <row r="94" spans="3:4" x14ac:dyDescent="0.3">
      <c r="C94" s="4"/>
      <c r="D94" s="1"/>
    </row>
    <row r="95" spans="3:4" x14ac:dyDescent="0.3">
      <c r="C95" s="4"/>
      <c r="D95" s="1"/>
    </row>
    <row r="96" spans="3:4" x14ac:dyDescent="0.3">
      <c r="C96" s="4"/>
      <c r="D96" s="1"/>
    </row>
    <row r="97" spans="3:4" x14ac:dyDescent="0.3">
      <c r="C97" s="4"/>
      <c r="D97" s="1"/>
    </row>
    <row r="98" spans="3:4" x14ac:dyDescent="0.3">
      <c r="C98" s="4"/>
      <c r="D98" s="1"/>
    </row>
    <row r="99" spans="3:4" x14ac:dyDescent="0.3">
      <c r="C99" s="4"/>
      <c r="D99" s="1"/>
    </row>
    <row r="100" spans="3:4" x14ac:dyDescent="0.3">
      <c r="C100" s="4"/>
      <c r="D100" s="1"/>
    </row>
    <row r="101" spans="3:4" x14ac:dyDescent="0.3">
      <c r="C101" s="4"/>
      <c r="D101" s="1"/>
    </row>
    <row r="102" spans="3:4" x14ac:dyDescent="0.3">
      <c r="C102" s="4"/>
      <c r="D102" s="1"/>
    </row>
    <row r="103" spans="3:4" x14ac:dyDescent="0.3">
      <c r="C103" s="4"/>
      <c r="D103" s="1"/>
    </row>
    <row r="104" spans="3:4" x14ac:dyDescent="0.3">
      <c r="C104" s="4"/>
      <c r="D104" s="1"/>
    </row>
    <row r="105" spans="3:4" x14ac:dyDescent="0.3">
      <c r="C105" s="4"/>
      <c r="D105" s="1"/>
    </row>
    <row r="106" spans="3:4" x14ac:dyDescent="0.3">
      <c r="C106" s="4"/>
      <c r="D106" s="1"/>
    </row>
    <row r="107" spans="3:4" x14ac:dyDescent="0.3">
      <c r="C107" s="4"/>
      <c r="D107" s="1"/>
    </row>
    <row r="108" spans="3:4" x14ac:dyDescent="0.3">
      <c r="C108" s="4"/>
      <c r="D108" s="1"/>
    </row>
    <row r="109" spans="3:4" x14ac:dyDescent="0.3">
      <c r="C109" s="4"/>
      <c r="D109" s="1"/>
    </row>
    <row r="110" spans="3:4" x14ac:dyDescent="0.3">
      <c r="C110" s="4"/>
      <c r="D110" s="1"/>
    </row>
    <row r="111" spans="3:4" x14ac:dyDescent="0.3">
      <c r="C111" s="4"/>
      <c r="D111" s="1"/>
    </row>
    <row r="112" spans="3:4" x14ac:dyDescent="0.3">
      <c r="C112" s="4"/>
      <c r="D112" s="1"/>
    </row>
    <row r="113" spans="3:4" x14ac:dyDescent="0.3">
      <c r="C113" s="4"/>
      <c r="D113" s="1"/>
    </row>
    <row r="114" spans="3:4" x14ac:dyDescent="0.3">
      <c r="C114" s="4"/>
      <c r="D114" s="1"/>
    </row>
    <row r="115" spans="3:4" x14ac:dyDescent="0.3">
      <c r="C115" s="4"/>
      <c r="D115" s="1"/>
    </row>
    <row r="116" spans="3:4" x14ac:dyDescent="0.3">
      <c r="C116" s="4"/>
      <c r="D116" s="1"/>
    </row>
    <row r="117" spans="3:4" x14ac:dyDescent="0.3">
      <c r="C117" s="4"/>
      <c r="D117" s="1"/>
    </row>
    <row r="118" spans="3:4" x14ac:dyDescent="0.3">
      <c r="C118" s="4"/>
      <c r="D118" s="1"/>
    </row>
    <row r="119" spans="3:4" x14ac:dyDescent="0.3">
      <c r="C119" s="4"/>
      <c r="D119" s="1"/>
    </row>
    <row r="120" spans="3:4" x14ac:dyDescent="0.3">
      <c r="C120" s="4"/>
      <c r="D120" s="1"/>
    </row>
    <row r="121" spans="3:4" x14ac:dyDescent="0.3">
      <c r="C121" s="4"/>
      <c r="D121" s="1"/>
    </row>
    <row r="122" spans="3:4" x14ac:dyDescent="0.3">
      <c r="C122" s="4"/>
      <c r="D122" s="1"/>
    </row>
    <row r="123" spans="3:4" x14ac:dyDescent="0.3">
      <c r="C123" s="4"/>
      <c r="D123" s="1"/>
    </row>
    <row r="124" spans="3:4" x14ac:dyDescent="0.3">
      <c r="C124" s="4"/>
      <c r="D124" s="1"/>
    </row>
    <row r="125" spans="3:4" x14ac:dyDescent="0.3">
      <c r="C125" s="4"/>
      <c r="D125" s="1"/>
    </row>
    <row r="126" spans="3:4" x14ac:dyDescent="0.3">
      <c r="C126" s="4"/>
      <c r="D126" s="1"/>
    </row>
    <row r="127" spans="3:4" x14ac:dyDescent="0.3">
      <c r="C127" s="4"/>
      <c r="D127" s="1"/>
    </row>
    <row r="128" spans="3:4" x14ac:dyDescent="0.3">
      <c r="C128" s="4"/>
      <c r="D128" s="1"/>
    </row>
    <row r="129" spans="3:4" x14ac:dyDescent="0.3">
      <c r="C129" s="4"/>
      <c r="D129" s="1"/>
    </row>
    <row r="130" spans="3:4" x14ac:dyDescent="0.3">
      <c r="C130" s="4"/>
      <c r="D130" s="1"/>
    </row>
    <row r="131" spans="3:4" x14ac:dyDescent="0.3">
      <c r="C131" s="4"/>
      <c r="D131" s="1"/>
    </row>
    <row r="132" spans="3:4" x14ac:dyDescent="0.3">
      <c r="C132" s="4"/>
      <c r="D132" s="1"/>
    </row>
    <row r="133" spans="3:4" x14ac:dyDescent="0.3">
      <c r="C133" s="4"/>
      <c r="D133" s="1"/>
    </row>
    <row r="134" spans="3:4" x14ac:dyDescent="0.3">
      <c r="C134" s="4"/>
      <c r="D134" s="1"/>
    </row>
    <row r="135" spans="3:4" x14ac:dyDescent="0.3">
      <c r="C135" s="4"/>
      <c r="D135" s="1"/>
    </row>
    <row r="136" spans="3:4" x14ac:dyDescent="0.3">
      <c r="C136" s="4"/>
      <c r="D136" s="1"/>
    </row>
    <row r="137" spans="3:4" x14ac:dyDescent="0.3">
      <c r="C137" s="4"/>
      <c r="D137" s="1"/>
    </row>
    <row r="138" spans="3:4" x14ac:dyDescent="0.3">
      <c r="C138" s="4"/>
      <c r="D138" s="1"/>
    </row>
    <row r="139" spans="3:4" x14ac:dyDescent="0.3">
      <c r="C139" s="4"/>
      <c r="D139" s="1"/>
    </row>
    <row r="140" spans="3:4" x14ac:dyDescent="0.3">
      <c r="C140" s="4"/>
      <c r="D140" s="1"/>
    </row>
    <row r="141" spans="3:4" x14ac:dyDescent="0.3">
      <c r="C141" s="4"/>
      <c r="D141" s="1"/>
    </row>
    <row r="142" spans="3:4" x14ac:dyDescent="0.3">
      <c r="C142" s="4"/>
      <c r="D142" s="1"/>
    </row>
    <row r="143" spans="3:4" x14ac:dyDescent="0.3">
      <c r="C143" s="4"/>
      <c r="D143" s="1"/>
    </row>
    <row r="144" spans="3:4" x14ac:dyDescent="0.3">
      <c r="C144" s="4"/>
      <c r="D144" s="1"/>
    </row>
    <row r="145" spans="3:4" x14ac:dyDescent="0.3">
      <c r="C145" s="4"/>
      <c r="D145" s="1"/>
    </row>
    <row r="146" spans="3:4" x14ac:dyDescent="0.3">
      <c r="C146" s="4"/>
      <c r="D146" s="1"/>
    </row>
    <row r="147" spans="3:4" x14ac:dyDescent="0.3">
      <c r="C147" s="4"/>
      <c r="D147" s="1"/>
    </row>
    <row r="148" spans="3:4" x14ac:dyDescent="0.3">
      <c r="C148" s="4"/>
      <c r="D148" s="1"/>
    </row>
    <row r="149" spans="3:4" x14ac:dyDescent="0.3">
      <c r="C149" s="4"/>
      <c r="D149" s="1"/>
    </row>
    <row r="150" spans="3:4" x14ac:dyDescent="0.3">
      <c r="C150" s="4"/>
      <c r="D150" s="1"/>
    </row>
    <row r="151" spans="3:4" x14ac:dyDescent="0.3">
      <c r="C151" s="4"/>
      <c r="D151" s="1"/>
    </row>
    <row r="152" spans="3:4" x14ac:dyDescent="0.3">
      <c r="C152" s="4"/>
      <c r="D152" s="1"/>
    </row>
    <row r="153" spans="3:4" x14ac:dyDescent="0.3">
      <c r="C153" s="4"/>
      <c r="D153" s="1"/>
    </row>
    <row r="154" spans="3:4" x14ac:dyDescent="0.3">
      <c r="C154" s="4"/>
      <c r="D154" s="1"/>
    </row>
    <row r="155" spans="3:4" x14ac:dyDescent="0.3">
      <c r="C155" s="4"/>
      <c r="D155" s="1"/>
    </row>
    <row r="156" spans="3:4" x14ac:dyDescent="0.3">
      <c r="C156" s="4"/>
      <c r="D156" s="1"/>
    </row>
    <row r="157" spans="3:4" x14ac:dyDescent="0.3">
      <c r="C157" s="4"/>
      <c r="D157" s="1"/>
    </row>
    <row r="158" spans="3:4" x14ac:dyDescent="0.3">
      <c r="C158" s="4"/>
      <c r="D158" s="1"/>
    </row>
    <row r="159" spans="3:4" x14ac:dyDescent="0.3">
      <c r="C159" s="4"/>
      <c r="D159" s="1"/>
    </row>
    <row r="160" spans="3:4" x14ac:dyDescent="0.3">
      <c r="C160" s="4"/>
      <c r="D160" s="1"/>
    </row>
    <row r="161" spans="3:4" x14ac:dyDescent="0.3">
      <c r="C161" s="4"/>
      <c r="D161" s="1"/>
    </row>
    <row r="162" spans="3:4" x14ac:dyDescent="0.3">
      <c r="C162" s="4"/>
      <c r="D162" s="1"/>
    </row>
    <row r="163" spans="3:4" x14ac:dyDescent="0.3">
      <c r="C163" s="4"/>
      <c r="D163" s="1"/>
    </row>
    <row r="164" spans="3:4" x14ac:dyDescent="0.3">
      <c r="C164" s="4"/>
      <c r="D164" s="1"/>
    </row>
    <row r="165" spans="3:4" x14ac:dyDescent="0.3">
      <c r="C165" s="4"/>
      <c r="D165" s="1"/>
    </row>
    <row r="166" spans="3:4" x14ac:dyDescent="0.3">
      <c r="C166" s="4"/>
      <c r="D166" s="1"/>
    </row>
    <row r="167" spans="3:4" x14ac:dyDescent="0.3">
      <c r="C167" s="4"/>
      <c r="D167" s="1"/>
    </row>
    <row r="168" spans="3:4" x14ac:dyDescent="0.3">
      <c r="C168" s="4"/>
      <c r="D168" s="1"/>
    </row>
    <row r="169" spans="3:4" x14ac:dyDescent="0.3">
      <c r="C169" s="4"/>
      <c r="D169" s="1"/>
    </row>
    <row r="170" spans="3:4" x14ac:dyDescent="0.3">
      <c r="C170" s="4"/>
      <c r="D170" s="1"/>
    </row>
    <row r="171" spans="3:4" x14ac:dyDescent="0.3">
      <c r="C171" s="4"/>
      <c r="D171" s="1"/>
    </row>
    <row r="172" spans="3:4" x14ac:dyDescent="0.3">
      <c r="C172" s="4"/>
      <c r="D172" s="1"/>
    </row>
    <row r="173" spans="3:4" x14ac:dyDescent="0.3">
      <c r="C173" s="4"/>
      <c r="D173" s="1"/>
    </row>
    <row r="174" spans="3:4" x14ac:dyDescent="0.3">
      <c r="C174" s="4"/>
      <c r="D174" s="1"/>
    </row>
    <row r="175" spans="3:4" x14ac:dyDescent="0.3">
      <c r="C175" s="4"/>
      <c r="D175" s="1"/>
    </row>
    <row r="176" spans="3:4" x14ac:dyDescent="0.3">
      <c r="C176" s="4"/>
      <c r="D176" s="1"/>
    </row>
    <row r="177" spans="3:4" x14ac:dyDescent="0.3">
      <c r="C177" s="4"/>
      <c r="D177" s="1"/>
    </row>
    <row r="178" spans="3:4" x14ac:dyDescent="0.3">
      <c r="C178" s="4"/>
      <c r="D178" s="1"/>
    </row>
    <row r="179" spans="3:4" x14ac:dyDescent="0.3">
      <c r="C179" s="4"/>
      <c r="D179" s="1"/>
    </row>
    <row r="180" spans="3:4" x14ac:dyDescent="0.3">
      <c r="C180" s="4"/>
      <c r="D180" s="1"/>
    </row>
    <row r="181" spans="3:4" x14ac:dyDescent="0.3">
      <c r="C181" s="4"/>
      <c r="D181" s="1"/>
    </row>
    <row r="182" spans="3:4" x14ac:dyDescent="0.3">
      <c r="C182" s="4"/>
      <c r="D182" s="1"/>
    </row>
    <row r="183" spans="3:4" x14ac:dyDescent="0.3">
      <c r="C183" s="4"/>
      <c r="D183" s="1"/>
    </row>
    <row r="184" spans="3:4" x14ac:dyDescent="0.3">
      <c r="C184" s="4"/>
      <c r="D184" s="1"/>
    </row>
    <row r="185" spans="3:4" x14ac:dyDescent="0.3">
      <c r="C185" s="4"/>
      <c r="D185" s="1"/>
    </row>
    <row r="186" spans="3:4" x14ac:dyDescent="0.3">
      <c r="C186" s="4"/>
      <c r="D186" s="1"/>
    </row>
    <row r="187" spans="3:4" x14ac:dyDescent="0.3">
      <c r="C187" s="4"/>
      <c r="D187" s="1"/>
    </row>
    <row r="188" spans="3:4" x14ac:dyDescent="0.3">
      <c r="C188" s="4"/>
      <c r="D188" s="1"/>
    </row>
    <row r="189" spans="3:4" x14ac:dyDescent="0.3">
      <c r="C189" s="4"/>
      <c r="D189" s="1"/>
    </row>
    <row r="190" spans="3:4" x14ac:dyDescent="0.3">
      <c r="C190" s="4"/>
      <c r="D190" s="1"/>
    </row>
    <row r="191" spans="3:4" x14ac:dyDescent="0.3">
      <c r="C191" s="4"/>
      <c r="D191" s="1"/>
    </row>
    <row r="192" spans="3:4" x14ac:dyDescent="0.3">
      <c r="C192" s="4"/>
      <c r="D192" s="1"/>
    </row>
    <row r="193" spans="3:4" x14ac:dyDescent="0.3">
      <c r="C193" s="4"/>
      <c r="D193" s="1"/>
    </row>
    <row r="194" spans="3:4" x14ac:dyDescent="0.3">
      <c r="C194" s="4"/>
      <c r="D194" s="1"/>
    </row>
    <row r="195" spans="3:4" x14ac:dyDescent="0.3">
      <c r="C195" s="4"/>
      <c r="D195" s="1"/>
    </row>
    <row r="196" spans="3:4" x14ac:dyDescent="0.3">
      <c r="C196" s="4"/>
      <c r="D196" s="1"/>
    </row>
    <row r="197" spans="3:4" x14ac:dyDescent="0.3">
      <c r="C197" s="4"/>
      <c r="D197" s="1"/>
    </row>
    <row r="198" spans="3:4" x14ac:dyDescent="0.3">
      <c r="C198" s="4"/>
      <c r="D198" s="1"/>
    </row>
    <row r="199" spans="3:4" x14ac:dyDescent="0.3">
      <c r="C199" s="4"/>
      <c r="D199" s="1"/>
    </row>
    <row r="200" spans="3:4" x14ac:dyDescent="0.3">
      <c r="C200" s="4"/>
      <c r="D200" s="1"/>
    </row>
    <row r="201" spans="3:4" x14ac:dyDescent="0.3">
      <c r="C201" s="4"/>
      <c r="D201" s="1"/>
    </row>
    <row r="202" spans="3:4" x14ac:dyDescent="0.3">
      <c r="C202" s="4"/>
      <c r="D202" s="1"/>
    </row>
    <row r="203" spans="3:4" x14ac:dyDescent="0.3">
      <c r="C203" s="4"/>
      <c r="D203" s="1"/>
    </row>
    <row r="204" spans="3:4" x14ac:dyDescent="0.3">
      <c r="C204" s="4"/>
      <c r="D204" s="1"/>
    </row>
    <row r="205" spans="3:4" x14ac:dyDescent="0.3">
      <c r="C205" s="1"/>
      <c r="D205" s="1"/>
    </row>
    <row r="206" spans="3:4" x14ac:dyDescent="0.3">
      <c r="C206" s="1"/>
      <c r="D206" s="1"/>
    </row>
    <row r="207" spans="3:4" x14ac:dyDescent="0.3">
      <c r="C207" s="1"/>
      <c r="D207" s="1"/>
    </row>
    <row r="208" spans="3:4" x14ac:dyDescent="0.3">
      <c r="C208" s="1"/>
      <c r="D208" s="1"/>
    </row>
    <row r="209" spans="3:4" x14ac:dyDescent="0.3">
      <c r="C209" s="1"/>
      <c r="D209" s="1"/>
    </row>
    <row r="210" spans="3:4" x14ac:dyDescent="0.3">
      <c r="C210" s="1"/>
      <c r="D210" s="1"/>
    </row>
    <row r="211" spans="3:4" x14ac:dyDescent="0.3">
      <c r="C211" s="1"/>
      <c r="D211" s="1"/>
    </row>
    <row r="212" spans="3:4" x14ac:dyDescent="0.3">
      <c r="C212" s="1"/>
      <c r="D212" s="1"/>
    </row>
    <row r="213" spans="3:4" x14ac:dyDescent="0.3">
      <c r="C213" s="1"/>
      <c r="D213" s="1"/>
    </row>
    <row r="214" spans="3:4" x14ac:dyDescent="0.3">
      <c r="C214" s="1"/>
      <c r="D214" s="1"/>
    </row>
    <row r="215" spans="3:4" x14ac:dyDescent="0.3">
      <c r="C215" s="1"/>
      <c r="D215" s="1"/>
    </row>
    <row r="216" spans="3:4" x14ac:dyDescent="0.3">
      <c r="C216" s="1"/>
      <c r="D216" s="1"/>
    </row>
    <row r="217" spans="3:4" x14ac:dyDescent="0.3">
      <c r="C217" s="1"/>
      <c r="D217" s="1"/>
    </row>
    <row r="218" spans="3:4" x14ac:dyDescent="0.3">
      <c r="C218" s="1"/>
      <c r="D218" s="1"/>
    </row>
    <row r="219" spans="3:4" x14ac:dyDescent="0.3">
      <c r="C219" s="1"/>
      <c r="D219" s="1"/>
    </row>
    <row r="220" spans="3:4" x14ac:dyDescent="0.3">
      <c r="C220" s="1"/>
      <c r="D220" s="1"/>
    </row>
    <row r="221" spans="3:4" x14ac:dyDescent="0.3">
      <c r="C221" s="1"/>
      <c r="D221" s="1"/>
    </row>
    <row r="222" spans="3:4" x14ac:dyDescent="0.3">
      <c r="C222" s="1"/>
      <c r="D222" s="1"/>
    </row>
    <row r="223" spans="3:4" x14ac:dyDescent="0.3">
      <c r="C223" s="1"/>
      <c r="D223" s="1"/>
    </row>
    <row r="224" spans="3:4" x14ac:dyDescent="0.3">
      <c r="C224" s="1"/>
      <c r="D224" s="1"/>
    </row>
    <row r="225" spans="3:4" x14ac:dyDescent="0.3">
      <c r="C225" s="1"/>
      <c r="D225" s="1"/>
    </row>
    <row r="226" spans="3:4" x14ac:dyDescent="0.3">
      <c r="C226" s="1"/>
      <c r="D226" s="1"/>
    </row>
    <row r="227" spans="3:4" x14ac:dyDescent="0.3">
      <c r="C227" s="1"/>
      <c r="D227" s="1"/>
    </row>
    <row r="228" spans="3:4" x14ac:dyDescent="0.3">
      <c r="C228" s="1"/>
      <c r="D228" s="1"/>
    </row>
    <row r="229" spans="3:4" x14ac:dyDescent="0.3">
      <c r="C229" s="1"/>
      <c r="D229" s="1"/>
    </row>
    <row r="230" spans="3:4" x14ac:dyDescent="0.3">
      <c r="C230" s="1"/>
      <c r="D230" s="1"/>
    </row>
    <row r="231" spans="3:4" x14ac:dyDescent="0.3">
      <c r="C231" s="1"/>
      <c r="D231" s="1"/>
    </row>
    <row r="232" spans="3:4" x14ac:dyDescent="0.3">
      <c r="C232" s="1"/>
      <c r="D232" s="1"/>
    </row>
    <row r="233" spans="3:4" x14ac:dyDescent="0.3">
      <c r="C233" s="1"/>
      <c r="D233" s="1"/>
    </row>
    <row r="234" spans="3:4" x14ac:dyDescent="0.3">
      <c r="C234" s="1"/>
      <c r="D234" s="1"/>
    </row>
    <row r="235" spans="3:4" x14ac:dyDescent="0.3">
      <c r="C235" s="1"/>
      <c r="D235" s="1"/>
    </row>
    <row r="236" spans="3:4" x14ac:dyDescent="0.3">
      <c r="C236" s="1"/>
      <c r="D236" s="1"/>
    </row>
    <row r="237" spans="3:4" x14ac:dyDescent="0.3">
      <c r="C237" s="1"/>
      <c r="D237" s="1"/>
    </row>
    <row r="238" spans="3:4" x14ac:dyDescent="0.3">
      <c r="C238" s="1"/>
      <c r="D238" s="1"/>
    </row>
    <row r="239" spans="3:4" x14ac:dyDescent="0.3">
      <c r="C239" s="1"/>
      <c r="D239" s="1"/>
    </row>
    <row r="240" spans="3:4" x14ac:dyDescent="0.3">
      <c r="C240" s="1"/>
      <c r="D240" s="1"/>
    </row>
    <row r="241" spans="3:4" x14ac:dyDescent="0.3">
      <c r="C241" s="1"/>
      <c r="D241" s="1"/>
    </row>
    <row r="242" spans="3:4" x14ac:dyDescent="0.3">
      <c r="C242" s="1"/>
      <c r="D242" s="1"/>
    </row>
    <row r="243" spans="3:4" x14ac:dyDescent="0.3">
      <c r="C243" s="1"/>
      <c r="D243" s="1"/>
    </row>
    <row r="244" spans="3:4" x14ac:dyDescent="0.3">
      <c r="C244" s="1"/>
      <c r="D244" s="1"/>
    </row>
    <row r="245" spans="3:4" x14ac:dyDescent="0.3">
      <c r="C245" s="1"/>
      <c r="D245" s="1"/>
    </row>
    <row r="246" spans="3:4" x14ac:dyDescent="0.3">
      <c r="C246" s="1"/>
      <c r="D246" s="1"/>
    </row>
    <row r="247" spans="3:4" x14ac:dyDescent="0.3">
      <c r="C247" s="1"/>
      <c r="D247" s="1"/>
    </row>
    <row r="248" spans="3:4" x14ac:dyDescent="0.3">
      <c r="C248" s="1"/>
      <c r="D248" s="1"/>
    </row>
    <row r="249" spans="3:4" x14ac:dyDescent="0.3">
      <c r="C249" s="1"/>
      <c r="D249" s="1"/>
    </row>
    <row r="250" spans="3:4" x14ac:dyDescent="0.3">
      <c r="C250" s="1"/>
      <c r="D250" s="1"/>
    </row>
    <row r="251" spans="3:4" x14ac:dyDescent="0.3">
      <c r="C251" s="1"/>
      <c r="D251" s="1"/>
    </row>
    <row r="252" spans="3:4" x14ac:dyDescent="0.3">
      <c r="C252" s="1"/>
      <c r="D252" s="1"/>
    </row>
    <row r="253" spans="3:4" x14ac:dyDescent="0.3">
      <c r="C253" s="1"/>
      <c r="D253" s="1"/>
    </row>
  </sheetData>
  <mergeCells count="13">
    <mergeCell ref="A62:A65"/>
    <mergeCell ref="A27:A30"/>
    <mergeCell ref="A31:A34"/>
    <mergeCell ref="A35:A38"/>
    <mergeCell ref="A39:A42"/>
    <mergeCell ref="A43:A46"/>
    <mergeCell ref="A47:A53"/>
    <mergeCell ref="A23:A26"/>
    <mergeCell ref="A3:A6"/>
    <mergeCell ref="A7:A10"/>
    <mergeCell ref="A11:A14"/>
    <mergeCell ref="A15:A18"/>
    <mergeCell ref="A19:A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57"/>
  <sheetViews>
    <sheetView rightToLeft="1" topLeftCell="A44" zoomScale="117" workbookViewId="0">
      <selection activeCell="E53" sqref="E53"/>
    </sheetView>
  </sheetViews>
  <sheetFormatPr defaultRowHeight="14.4" x14ac:dyDescent="0.3"/>
  <cols>
    <col min="1" max="1" width="13.109375" customWidth="1"/>
    <col min="3" max="3" width="20.21875" customWidth="1"/>
    <col min="4" max="4" width="19.77734375" customWidth="1"/>
    <col min="5" max="5" width="29.88671875" customWidth="1"/>
    <col min="6" max="6" width="11.33203125" bestFit="1" customWidth="1"/>
    <col min="7" max="7" width="14.88671875" customWidth="1"/>
  </cols>
  <sheetData>
    <row r="1" spans="1:7" x14ac:dyDescent="0.3">
      <c r="A1" s="2" t="s">
        <v>2</v>
      </c>
      <c r="B1" s="2" t="s">
        <v>3</v>
      </c>
      <c r="C1" s="2" t="s">
        <v>0</v>
      </c>
      <c r="D1" s="2" t="s">
        <v>1</v>
      </c>
      <c r="E1" s="2" t="s">
        <v>4</v>
      </c>
    </row>
    <row r="2" spans="1:7" x14ac:dyDescent="0.3">
      <c r="A2" s="2" t="s">
        <v>50</v>
      </c>
      <c r="B2" s="2"/>
      <c r="C2" s="3">
        <v>22157000</v>
      </c>
      <c r="D2" s="2"/>
      <c r="E2" s="2"/>
    </row>
    <row r="3" spans="1:7" x14ac:dyDescent="0.3">
      <c r="A3" s="22" t="s">
        <v>6</v>
      </c>
      <c r="B3" s="2">
        <v>1</v>
      </c>
      <c r="C3" s="3">
        <v>1000000</v>
      </c>
      <c r="D3" s="3">
        <v>400000</v>
      </c>
      <c r="E3" s="2" t="s">
        <v>38</v>
      </c>
      <c r="G3" s="1">
        <v>17500000</v>
      </c>
    </row>
    <row r="4" spans="1:7" x14ac:dyDescent="0.3">
      <c r="A4" s="22"/>
      <c r="B4" s="2">
        <v>2</v>
      </c>
      <c r="C4" s="3">
        <v>1000000</v>
      </c>
      <c r="D4" s="3">
        <v>2200000</v>
      </c>
      <c r="E4" s="2" t="s">
        <v>39</v>
      </c>
      <c r="F4" s="8">
        <f>C4+C8+C12+C16+C20+C24+C28+C44</f>
        <v>15300000</v>
      </c>
    </row>
    <row r="5" spans="1:7" x14ac:dyDescent="0.3">
      <c r="A5" s="22"/>
      <c r="B5" s="2">
        <v>3</v>
      </c>
      <c r="C5" s="3">
        <v>1000000</v>
      </c>
      <c r="D5" s="3">
        <v>1500000</v>
      </c>
      <c r="E5" s="2" t="s">
        <v>7</v>
      </c>
      <c r="G5" s="8">
        <f>G3-F4</f>
        <v>2200000</v>
      </c>
    </row>
    <row r="6" spans="1:7" x14ac:dyDescent="0.3">
      <c r="A6" s="22"/>
      <c r="B6" s="2">
        <v>4</v>
      </c>
      <c r="C6" s="3">
        <v>1000000</v>
      </c>
      <c r="D6" s="3"/>
      <c r="E6" s="2"/>
    </row>
    <row r="7" spans="1:7" x14ac:dyDescent="0.3">
      <c r="A7" s="22" t="s">
        <v>9</v>
      </c>
      <c r="B7" s="2">
        <v>1</v>
      </c>
      <c r="C7" s="3">
        <v>1500000</v>
      </c>
      <c r="D7" s="3">
        <v>1500000</v>
      </c>
      <c r="E7" s="2" t="s">
        <v>40</v>
      </c>
    </row>
    <row r="8" spans="1:7" x14ac:dyDescent="0.3">
      <c r="A8" s="22"/>
      <c r="B8" s="2">
        <v>2</v>
      </c>
      <c r="C8" s="3">
        <v>1500000</v>
      </c>
      <c r="D8" s="3">
        <v>1500000</v>
      </c>
      <c r="E8" s="2" t="s">
        <v>42</v>
      </c>
    </row>
    <row r="9" spans="1:7" x14ac:dyDescent="0.3">
      <c r="A9" s="22"/>
      <c r="B9" s="2">
        <v>3</v>
      </c>
      <c r="C9" s="3">
        <v>1500000</v>
      </c>
      <c r="D9" s="3">
        <v>2000000</v>
      </c>
      <c r="E9" s="2" t="s">
        <v>19</v>
      </c>
    </row>
    <row r="10" spans="1:7" x14ac:dyDescent="0.3">
      <c r="A10" s="22"/>
      <c r="B10" s="2">
        <v>4</v>
      </c>
      <c r="C10" s="3">
        <v>1500000</v>
      </c>
      <c r="D10" s="3">
        <v>2000000</v>
      </c>
      <c r="E10" s="2" t="s">
        <v>62</v>
      </c>
    </row>
    <row r="11" spans="1:7" x14ac:dyDescent="0.3">
      <c r="A11" s="22" t="s">
        <v>10</v>
      </c>
      <c r="B11" s="2">
        <v>1</v>
      </c>
      <c r="C11" s="3">
        <v>1500000</v>
      </c>
      <c r="D11" s="3">
        <v>1500000</v>
      </c>
      <c r="E11" s="2" t="s">
        <v>7</v>
      </c>
    </row>
    <row r="12" spans="1:7" x14ac:dyDescent="0.3">
      <c r="A12" s="22"/>
      <c r="B12" s="2">
        <v>2</v>
      </c>
      <c r="C12" s="3">
        <v>1000000</v>
      </c>
      <c r="D12" s="3">
        <v>1500000</v>
      </c>
      <c r="E12" s="2" t="s">
        <v>43</v>
      </c>
    </row>
    <row r="13" spans="1:7" x14ac:dyDescent="0.3">
      <c r="A13" s="22"/>
      <c r="B13" s="2">
        <v>3</v>
      </c>
      <c r="C13" s="3">
        <v>1500000</v>
      </c>
      <c r="D13" s="3">
        <v>695000</v>
      </c>
      <c r="E13" s="2" t="s">
        <v>20</v>
      </c>
    </row>
    <row r="14" spans="1:7" x14ac:dyDescent="0.3">
      <c r="A14" s="22"/>
      <c r="B14" s="2">
        <v>4</v>
      </c>
      <c r="C14" s="3">
        <v>1500000</v>
      </c>
      <c r="D14" s="3">
        <v>3700000</v>
      </c>
      <c r="E14" s="2" t="s">
        <v>41</v>
      </c>
    </row>
    <row r="15" spans="1:7" x14ac:dyDescent="0.3">
      <c r="A15" s="22" t="s">
        <v>11</v>
      </c>
      <c r="B15" s="2">
        <v>1</v>
      </c>
      <c r="C15" s="3">
        <v>1500000</v>
      </c>
      <c r="D15" s="3">
        <v>1500000</v>
      </c>
      <c r="E15" s="2" t="s">
        <v>7</v>
      </c>
    </row>
    <row r="16" spans="1:7" x14ac:dyDescent="0.3">
      <c r="A16" s="22"/>
      <c r="B16" s="2">
        <v>2</v>
      </c>
      <c r="C16" s="3">
        <v>1500000</v>
      </c>
      <c r="D16" s="3">
        <v>1500000</v>
      </c>
      <c r="E16" s="2" t="s">
        <v>8</v>
      </c>
    </row>
    <row r="17" spans="1:5" x14ac:dyDescent="0.3">
      <c r="A17" s="22"/>
      <c r="B17" s="2">
        <v>3</v>
      </c>
      <c r="C17" s="3">
        <v>1500000</v>
      </c>
      <c r="D17" s="3">
        <v>450000</v>
      </c>
      <c r="E17" s="2" t="s">
        <v>20</v>
      </c>
    </row>
    <row r="18" spans="1:5" x14ac:dyDescent="0.3">
      <c r="A18" s="22"/>
      <c r="B18" s="2">
        <v>4</v>
      </c>
      <c r="C18" s="3">
        <v>1500000</v>
      </c>
      <c r="D18" s="3">
        <v>430000</v>
      </c>
      <c r="E18" s="2" t="s">
        <v>35</v>
      </c>
    </row>
    <row r="19" spans="1:5" x14ac:dyDescent="0.3">
      <c r="A19" s="22" t="s">
        <v>12</v>
      </c>
      <c r="B19" s="2">
        <v>1</v>
      </c>
      <c r="C19" s="3">
        <v>1500000</v>
      </c>
      <c r="D19" s="3">
        <v>1500000</v>
      </c>
      <c r="E19" s="2" t="s">
        <v>7</v>
      </c>
    </row>
    <row r="20" spans="1:5" x14ac:dyDescent="0.3">
      <c r="A20" s="22"/>
      <c r="B20" s="2">
        <v>2</v>
      </c>
      <c r="C20" s="3">
        <v>1500000</v>
      </c>
      <c r="D20" s="3">
        <v>1500000</v>
      </c>
      <c r="E20" s="2" t="s">
        <v>8</v>
      </c>
    </row>
    <row r="21" spans="1:5" x14ac:dyDescent="0.3">
      <c r="A21" s="22"/>
      <c r="B21" s="2">
        <v>3</v>
      </c>
      <c r="C21" s="3">
        <v>1500000</v>
      </c>
      <c r="D21" s="3">
        <v>400000</v>
      </c>
      <c r="E21" s="2" t="s">
        <v>44</v>
      </c>
    </row>
    <row r="22" spans="1:5" x14ac:dyDescent="0.3">
      <c r="A22" s="22"/>
      <c r="B22" s="2">
        <v>4</v>
      </c>
      <c r="C22" s="3">
        <v>1500000</v>
      </c>
      <c r="D22" s="7">
        <v>1350000</v>
      </c>
      <c r="E22" s="2" t="s">
        <v>45</v>
      </c>
    </row>
    <row r="23" spans="1:5" x14ac:dyDescent="0.3">
      <c r="A23" s="22" t="s">
        <v>13</v>
      </c>
      <c r="B23" s="2">
        <v>1</v>
      </c>
      <c r="C23" s="3"/>
      <c r="D23" s="3">
        <v>446000</v>
      </c>
      <c r="E23" s="2" t="s">
        <v>20</v>
      </c>
    </row>
    <row r="24" spans="1:5" x14ac:dyDescent="0.3">
      <c r="A24" s="22"/>
      <c r="B24" s="2">
        <v>2</v>
      </c>
      <c r="C24" s="3">
        <v>4500000</v>
      </c>
      <c r="D24" s="3">
        <v>1500000</v>
      </c>
      <c r="E24" s="2" t="s">
        <v>8</v>
      </c>
    </row>
    <row r="25" spans="1:5" x14ac:dyDescent="0.3">
      <c r="A25" s="22"/>
      <c r="B25" s="2">
        <v>3</v>
      </c>
      <c r="C25" s="3"/>
      <c r="D25" s="3">
        <v>1500000</v>
      </c>
      <c r="E25" s="2" t="s">
        <v>7</v>
      </c>
    </row>
    <row r="26" spans="1:5" x14ac:dyDescent="0.3">
      <c r="A26" s="22"/>
      <c r="B26" s="2">
        <v>4</v>
      </c>
      <c r="C26" s="3"/>
      <c r="D26" s="3"/>
      <c r="E26" s="2" t="s">
        <v>20</v>
      </c>
    </row>
    <row r="27" spans="1:5" x14ac:dyDescent="0.3">
      <c r="A27" s="22" t="s">
        <v>14</v>
      </c>
      <c r="B27" s="2">
        <v>1</v>
      </c>
      <c r="C27" s="3">
        <v>1500000</v>
      </c>
      <c r="D27" s="3"/>
      <c r="E27" s="2"/>
    </row>
    <row r="28" spans="1:5" x14ac:dyDescent="0.3">
      <c r="A28" s="22"/>
      <c r="B28" s="2">
        <v>2</v>
      </c>
      <c r="C28" s="3">
        <v>2300000</v>
      </c>
      <c r="D28" s="3">
        <v>1500000</v>
      </c>
      <c r="E28" s="2" t="s">
        <v>47</v>
      </c>
    </row>
    <row r="29" spans="1:5" x14ac:dyDescent="0.3">
      <c r="A29" s="22"/>
      <c r="B29" s="2">
        <v>3</v>
      </c>
      <c r="C29" s="3">
        <v>1500000</v>
      </c>
      <c r="D29" s="3">
        <v>1500000</v>
      </c>
      <c r="E29" s="2" t="s">
        <v>46</v>
      </c>
    </row>
    <row r="30" spans="1:5" x14ac:dyDescent="0.3">
      <c r="A30" s="22"/>
      <c r="B30" s="2">
        <v>4</v>
      </c>
      <c r="C30" s="3"/>
      <c r="D30" s="3"/>
      <c r="E30" s="2"/>
    </row>
    <row r="31" spans="1:5" x14ac:dyDescent="0.3">
      <c r="A31" s="22" t="s">
        <v>24</v>
      </c>
      <c r="B31" s="2">
        <v>1</v>
      </c>
      <c r="C31" s="3">
        <v>1500000</v>
      </c>
      <c r="D31" s="3">
        <v>656000</v>
      </c>
      <c r="E31" s="2" t="s">
        <v>20</v>
      </c>
    </row>
    <row r="32" spans="1:5" x14ac:dyDescent="0.3">
      <c r="A32" s="22"/>
      <c r="B32" s="2">
        <v>2</v>
      </c>
      <c r="C32" s="3">
        <v>0</v>
      </c>
      <c r="D32" s="3">
        <v>1500000</v>
      </c>
      <c r="E32" s="2" t="s">
        <v>26</v>
      </c>
    </row>
    <row r="33" spans="1:5" x14ac:dyDescent="0.3">
      <c r="A33" s="22"/>
      <c r="B33" s="2">
        <v>3</v>
      </c>
      <c r="C33" s="3">
        <v>1500000</v>
      </c>
      <c r="D33" s="3">
        <v>2000000</v>
      </c>
      <c r="E33" s="2" t="s">
        <v>48</v>
      </c>
    </row>
    <row r="34" spans="1:5" x14ac:dyDescent="0.3">
      <c r="A34" s="22"/>
      <c r="B34" s="2">
        <v>4</v>
      </c>
      <c r="C34" s="3"/>
      <c r="D34" s="3"/>
      <c r="E34" s="2"/>
    </row>
    <row r="35" spans="1:5" x14ac:dyDescent="0.3">
      <c r="A35" s="22" t="s">
        <v>25</v>
      </c>
      <c r="B35" s="2">
        <v>1</v>
      </c>
      <c r="C35" s="3">
        <v>1500000</v>
      </c>
      <c r="D35" s="3">
        <v>1500000</v>
      </c>
      <c r="E35" s="2" t="s">
        <v>52</v>
      </c>
    </row>
    <row r="36" spans="1:5" x14ac:dyDescent="0.3">
      <c r="A36" s="22"/>
      <c r="B36" s="2">
        <v>2</v>
      </c>
      <c r="C36" s="3"/>
      <c r="D36" s="3">
        <v>1500000</v>
      </c>
      <c r="E36" s="2" t="s">
        <v>51</v>
      </c>
    </row>
    <row r="37" spans="1:5" x14ac:dyDescent="0.3">
      <c r="A37" s="22"/>
      <c r="B37" s="2">
        <v>3</v>
      </c>
      <c r="C37" s="3">
        <v>1500000</v>
      </c>
      <c r="D37" s="3">
        <v>1000000</v>
      </c>
      <c r="E37" s="2" t="s">
        <v>49</v>
      </c>
    </row>
    <row r="38" spans="1:5" x14ac:dyDescent="0.3">
      <c r="A38" s="22"/>
      <c r="B38" s="2">
        <v>4</v>
      </c>
      <c r="C38" s="3">
        <v>1500000</v>
      </c>
      <c r="D38" s="3"/>
      <c r="E38" s="2"/>
    </row>
    <row r="39" spans="1:5" x14ac:dyDescent="0.3">
      <c r="A39" s="22" t="s">
        <v>15</v>
      </c>
      <c r="B39" s="2">
        <v>1</v>
      </c>
      <c r="C39" s="3"/>
      <c r="D39" s="3">
        <v>1500000</v>
      </c>
      <c r="E39" s="2" t="s">
        <v>55</v>
      </c>
    </row>
    <row r="40" spans="1:5" x14ac:dyDescent="0.3">
      <c r="A40" s="22"/>
      <c r="B40" s="2">
        <v>2</v>
      </c>
      <c r="C40" s="3"/>
      <c r="D40" s="3">
        <v>1500000</v>
      </c>
      <c r="E40" s="2" t="s">
        <v>54</v>
      </c>
    </row>
    <row r="41" spans="1:5" x14ac:dyDescent="0.3">
      <c r="A41" s="22"/>
      <c r="B41" s="2">
        <v>3</v>
      </c>
      <c r="C41" s="3">
        <v>1500000</v>
      </c>
      <c r="D41" s="3">
        <v>3400000</v>
      </c>
      <c r="E41" s="2" t="s">
        <v>53</v>
      </c>
    </row>
    <row r="42" spans="1:5" x14ac:dyDescent="0.3">
      <c r="A42" s="22"/>
      <c r="B42" s="2">
        <v>4</v>
      </c>
      <c r="C42" s="3">
        <v>1500000</v>
      </c>
      <c r="D42" s="3">
        <v>810000</v>
      </c>
      <c r="E42" s="2" t="s">
        <v>20</v>
      </c>
    </row>
    <row r="43" spans="1:5" x14ac:dyDescent="0.3">
      <c r="A43" s="24" t="s">
        <v>16</v>
      </c>
      <c r="B43" s="2">
        <v>1</v>
      </c>
      <c r="C43" s="3"/>
      <c r="D43" s="3"/>
      <c r="E43" s="2"/>
    </row>
    <row r="44" spans="1:5" x14ac:dyDescent="0.3">
      <c r="A44" s="25"/>
      <c r="B44" s="2">
        <v>2</v>
      </c>
      <c r="C44" s="3">
        <v>2000000</v>
      </c>
      <c r="D44" s="3">
        <v>1500000</v>
      </c>
      <c r="E44" s="2" t="s">
        <v>33</v>
      </c>
    </row>
    <row r="45" spans="1:5" x14ac:dyDescent="0.3">
      <c r="A45" s="25"/>
      <c r="B45" s="2">
        <v>3</v>
      </c>
      <c r="C45" s="3">
        <v>1500000</v>
      </c>
      <c r="D45" s="3">
        <v>2000000</v>
      </c>
      <c r="E45" s="2" t="s">
        <v>56</v>
      </c>
    </row>
    <row r="46" spans="1:5" x14ac:dyDescent="0.3">
      <c r="A46" s="26"/>
      <c r="B46" s="2">
        <v>4</v>
      </c>
      <c r="C46" s="3">
        <v>1500000</v>
      </c>
      <c r="D46" s="3">
        <v>1420000</v>
      </c>
      <c r="E46" s="2" t="s">
        <v>23</v>
      </c>
    </row>
    <row r="47" spans="1:5" x14ac:dyDescent="0.3">
      <c r="A47" s="24" t="s">
        <v>17</v>
      </c>
      <c r="B47" s="2">
        <v>1</v>
      </c>
      <c r="C47" s="3"/>
      <c r="D47" s="3">
        <v>3000000</v>
      </c>
      <c r="E47" s="2" t="s">
        <v>60</v>
      </c>
    </row>
    <row r="48" spans="1:5" x14ac:dyDescent="0.3">
      <c r="A48" s="25"/>
      <c r="B48" s="2">
        <v>2</v>
      </c>
      <c r="C48" s="3">
        <v>2200000</v>
      </c>
      <c r="D48" s="3">
        <v>2200000</v>
      </c>
      <c r="E48" s="2" t="s">
        <v>61</v>
      </c>
    </row>
    <row r="49" spans="1:5" x14ac:dyDescent="0.3">
      <c r="A49" s="25"/>
      <c r="B49" s="2">
        <v>3</v>
      </c>
      <c r="C49" s="3">
        <v>1500000</v>
      </c>
      <c r="D49" s="3"/>
      <c r="E49" s="2"/>
    </row>
    <row r="50" spans="1:5" x14ac:dyDescent="0.3">
      <c r="A50" s="25"/>
      <c r="B50" s="2">
        <v>4</v>
      </c>
      <c r="C50" s="3">
        <v>1500000</v>
      </c>
      <c r="D50" s="3">
        <v>300000</v>
      </c>
      <c r="E50" s="2" t="s">
        <v>57</v>
      </c>
    </row>
    <row r="51" spans="1:5" x14ac:dyDescent="0.3">
      <c r="A51" s="25"/>
      <c r="B51" s="2"/>
      <c r="C51" s="3"/>
      <c r="D51" s="3">
        <v>1500000</v>
      </c>
      <c r="E51" s="2" t="s">
        <v>59</v>
      </c>
    </row>
    <row r="52" spans="1:5" x14ac:dyDescent="0.3">
      <c r="A52" s="25"/>
      <c r="B52" s="2"/>
      <c r="C52" s="3"/>
      <c r="D52" s="3">
        <v>4000000</v>
      </c>
      <c r="E52" s="2" t="s">
        <v>58</v>
      </c>
    </row>
    <row r="53" spans="1:5" x14ac:dyDescent="0.3">
      <c r="A53" s="25"/>
      <c r="B53" s="2"/>
      <c r="C53" s="3"/>
      <c r="D53" s="3">
        <v>1200000</v>
      </c>
      <c r="E53" s="2" t="s">
        <v>67</v>
      </c>
    </row>
    <row r="54" spans="1:5" x14ac:dyDescent="0.3">
      <c r="A54" s="26"/>
      <c r="B54" s="2"/>
      <c r="C54" s="3"/>
      <c r="D54" s="3">
        <v>550000</v>
      </c>
      <c r="E54" s="2" t="s">
        <v>20</v>
      </c>
    </row>
    <row r="55" spans="1:5" x14ac:dyDescent="0.3">
      <c r="A55" s="6" t="s">
        <v>18</v>
      </c>
      <c r="B55" s="2"/>
      <c r="C55" s="3">
        <f>SUM(C2:C54)</f>
        <v>80157000</v>
      </c>
      <c r="D55" s="3">
        <f>SUM(D2:D54)</f>
        <v>66607000</v>
      </c>
      <c r="E55" s="3">
        <f>C55-D55</f>
        <v>13550000</v>
      </c>
    </row>
    <row r="56" spans="1:5" x14ac:dyDescent="0.3">
      <c r="E56" s="3">
        <v>6500000</v>
      </c>
    </row>
    <row r="57" spans="1:5" x14ac:dyDescent="0.3">
      <c r="E57" s="8">
        <f>E55+E56</f>
        <v>20050000</v>
      </c>
    </row>
  </sheetData>
  <mergeCells count="12">
    <mergeCell ref="A47:A54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56"/>
  <sheetViews>
    <sheetView rightToLeft="1" topLeftCell="A46" zoomScale="117" workbookViewId="0">
      <selection activeCell="D61" sqref="D61"/>
    </sheetView>
  </sheetViews>
  <sheetFormatPr defaultRowHeight="14.4" x14ac:dyDescent="0.3"/>
  <cols>
    <col min="1" max="1" width="13.109375" customWidth="1"/>
    <col min="3" max="3" width="20.21875" customWidth="1"/>
    <col min="4" max="4" width="19.77734375" style="1" customWidth="1"/>
    <col min="5" max="5" width="29.88671875" customWidth="1"/>
    <col min="6" max="6" width="11.33203125" bestFit="1" customWidth="1"/>
    <col min="7" max="7" width="14.88671875" customWidth="1"/>
  </cols>
  <sheetData>
    <row r="1" spans="1:7" x14ac:dyDescent="0.3">
      <c r="A1" s="2" t="s">
        <v>2</v>
      </c>
      <c r="B1" s="2" t="s">
        <v>3</v>
      </c>
      <c r="C1" s="2" t="s">
        <v>0</v>
      </c>
      <c r="D1" s="3" t="s">
        <v>1</v>
      </c>
      <c r="E1" s="2" t="s">
        <v>4</v>
      </c>
    </row>
    <row r="2" spans="1:7" x14ac:dyDescent="0.3">
      <c r="A2" s="2" t="s">
        <v>63</v>
      </c>
      <c r="B2" s="9"/>
      <c r="C2" s="3">
        <v>20050000</v>
      </c>
      <c r="D2" s="3">
        <v>2000000</v>
      </c>
      <c r="E2" s="2" t="s">
        <v>65</v>
      </c>
    </row>
    <row r="3" spans="1:7" x14ac:dyDescent="0.3">
      <c r="A3" s="22" t="s">
        <v>6</v>
      </c>
      <c r="B3" s="2">
        <v>1</v>
      </c>
      <c r="C3" s="3">
        <v>1500000</v>
      </c>
      <c r="D3" s="3">
        <v>5500000</v>
      </c>
      <c r="E3" s="2" t="s">
        <v>66</v>
      </c>
      <c r="G3" s="1"/>
    </row>
    <row r="4" spans="1:7" x14ac:dyDescent="0.3">
      <c r="A4" s="22"/>
      <c r="B4" s="2">
        <v>2</v>
      </c>
      <c r="C4" s="3">
        <v>1500000</v>
      </c>
      <c r="D4" s="3">
        <v>2500000</v>
      </c>
      <c r="E4" s="2" t="s">
        <v>8</v>
      </c>
      <c r="F4" s="8"/>
    </row>
    <row r="5" spans="1:7" x14ac:dyDescent="0.3">
      <c r="A5" s="22"/>
      <c r="B5" s="2">
        <v>3</v>
      </c>
      <c r="C5" s="3">
        <v>1500000</v>
      </c>
      <c r="D5" s="3">
        <v>2500000</v>
      </c>
      <c r="E5" s="2" t="s">
        <v>7</v>
      </c>
      <c r="G5" s="8"/>
    </row>
    <row r="6" spans="1:7" x14ac:dyDescent="0.3">
      <c r="A6" s="22"/>
      <c r="B6" s="2">
        <v>4</v>
      </c>
      <c r="C6" s="3">
        <v>1500000</v>
      </c>
      <c r="D6" s="3"/>
      <c r="E6" s="2"/>
    </row>
    <row r="7" spans="1:7" x14ac:dyDescent="0.3">
      <c r="A7" s="22" t="s">
        <v>9</v>
      </c>
      <c r="B7" s="2">
        <v>1</v>
      </c>
      <c r="C7" s="3">
        <v>2500000</v>
      </c>
      <c r="D7" s="3"/>
      <c r="E7" s="2"/>
    </row>
    <row r="8" spans="1:7" x14ac:dyDescent="0.3">
      <c r="A8" s="22"/>
      <c r="B8" s="2">
        <v>2</v>
      </c>
      <c r="C8" s="3"/>
      <c r="D8" s="3">
        <v>2500000</v>
      </c>
      <c r="E8" s="2" t="s">
        <v>8</v>
      </c>
    </row>
    <row r="9" spans="1:7" x14ac:dyDescent="0.3">
      <c r="A9" s="22"/>
      <c r="B9" s="2">
        <v>3</v>
      </c>
      <c r="C9" s="3">
        <v>2500000</v>
      </c>
      <c r="D9" s="3">
        <v>2000000</v>
      </c>
      <c r="E9" s="2" t="s">
        <v>7</v>
      </c>
    </row>
    <row r="10" spans="1:7" x14ac:dyDescent="0.3">
      <c r="A10" s="22"/>
      <c r="B10" s="2">
        <v>4</v>
      </c>
      <c r="C10" s="3">
        <v>2500000</v>
      </c>
      <c r="D10" s="3"/>
      <c r="E10" s="2"/>
    </row>
    <row r="11" spans="1:7" x14ac:dyDescent="0.3">
      <c r="A11" s="22" t="s">
        <v>10</v>
      </c>
      <c r="B11" s="2">
        <v>1</v>
      </c>
      <c r="C11" s="3">
        <v>2500000</v>
      </c>
      <c r="D11" s="3">
        <v>980000</v>
      </c>
      <c r="E11" s="2" t="s">
        <v>20</v>
      </c>
    </row>
    <row r="12" spans="1:7" x14ac:dyDescent="0.3">
      <c r="A12" s="22"/>
      <c r="B12" s="2">
        <v>2</v>
      </c>
      <c r="C12" s="3"/>
      <c r="D12" s="3">
        <v>2500000</v>
      </c>
      <c r="E12" s="2" t="s">
        <v>7</v>
      </c>
    </row>
    <row r="13" spans="1:7" x14ac:dyDescent="0.3">
      <c r="A13" s="22"/>
      <c r="B13" s="2">
        <v>3</v>
      </c>
      <c r="C13" s="3">
        <v>2500000</v>
      </c>
      <c r="D13" s="3">
        <v>2500000</v>
      </c>
      <c r="E13" s="2" t="s">
        <v>8</v>
      </c>
    </row>
    <row r="14" spans="1:7" x14ac:dyDescent="0.3">
      <c r="A14" s="22"/>
      <c r="B14" s="2">
        <v>4</v>
      </c>
      <c r="C14" s="3">
        <v>2500000</v>
      </c>
      <c r="D14" s="3">
        <v>1000000</v>
      </c>
      <c r="E14" s="2" t="s">
        <v>68</v>
      </c>
    </row>
    <row r="15" spans="1:7" x14ac:dyDescent="0.3">
      <c r="A15" s="22" t="s">
        <v>11</v>
      </c>
      <c r="B15" s="2">
        <v>1</v>
      </c>
      <c r="C15" s="3">
        <v>2500000</v>
      </c>
      <c r="D15" s="3">
        <v>307000</v>
      </c>
      <c r="E15" s="2" t="s">
        <v>20</v>
      </c>
    </row>
    <row r="16" spans="1:7" x14ac:dyDescent="0.3">
      <c r="A16" s="22"/>
      <c r="B16" s="2">
        <v>2</v>
      </c>
      <c r="C16" s="3"/>
      <c r="D16" s="3">
        <v>2500000</v>
      </c>
      <c r="E16" s="2" t="s">
        <v>8</v>
      </c>
    </row>
    <row r="17" spans="1:5" x14ac:dyDescent="0.3">
      <c r="A17" s="22"/>
      <c r="B17" s="2">
        <v>3</v>
      </c>
      <c r="C17" s="3">
        <v>2500000</v>
      </c>
      <c r="D17" s="3">
        <v>350000</v>
      </c>
      <c r="E17" s="2" t="s">
        <v>20</v>
      </c>
    </row>
    <row r="18" spans="1:5" x14ac:dyDescent="0.3">
      <c r="A18" s="22"/>
      <c r="B18" s="2">
        <v>4</v>
      </c>
      <c r="C18" s="3">
        <v>2500000</v>
      </c>
      <c r="D18" s="3"/>
      <c r="E18" s="2"/>
    </row>
    <row r="19" spans="1:5" x14ac:dyDescent="0.3">
      <c r="A19" s="22" t="s">
        <v>12</v>
      </c>
      <c r="B19" s="2">
        <v>1</v>
      </c>
      <c r="C19" s="3">
        <v>2500000</v>
      </c>
      <c r="D19" s="3">
        <v>2000000</v>
      </c>
      <c r="E19" s="2" t="s">
        <v>7</v>
      </c>
    </row>
    <row r="20" spans="1:5" x14ac:dyDescent="0.3">
      <c r="A20" s="22"/>
      <c r="B20" s="2">
        <v>2</v>
      </c>
      <c r="C20" s="3">
        <v>2500000</v>
      </c>
      <c r="D20" s="3">
        <v>1200000</v>
      </c>
      <c r="E20" s="2" t="s">
        <v>69</v>
      </c>
    </row>
    <row r="21" spans="1:5" x14ac:dyDescent="0.3">
      <c r="A21" s="22"/>
      <c r="B21" s="2">
        <v>3</v>
      </c>
      <c r="C21" s="3">
        <v>2500000</v>
      </c>
      <c r="D21" s="3">
        <v>370000</v>
      </c>
      <c r="E21" s="2" t="s">
        <v>20</v>
      </c>
    </row>
    <row r="22" spans="1:5" x14ac:dyDescent="0.3">
      <c r="A22" s="22"/>
      <c r="B22" s="2">
        <v>4</v>
      </c>
      <c r="C22" s="3">
        <v>2500000</v>
      </c>
      <c r="D22" s="7">
        <v>2500000</v>
      </c>
      <c r="E22" s="2" t="s">
        <v>70</v>
      </c>
    </row>
    <row r="23" spans="1:5" x14ac:dyDescent="0.3">
      <c r="A23" s="22" t="s">
        <v>13</v>
      </c>
      <c r="B23" s="2">
        <v>1</v>
      </c>
      <c r="C23" s="3">
        <v>2500000</v>
      </c>
      <c r="D23" s="3">
        <v>2500000</v>
      </c>
      <c r="E23" s="2" t="s">
        <v>8</v>
      </c>
    </row>
    <row r="24" spans="1:5" x14ac:dyDescent="0.3">
      <c r="A24" s="22"/>
      <c r="B24" s="2">
        <v>2</v>
      </c>
      <c r="C24" s="3">
        <v>2500000</v>
      </c>
      <c r="D24" s="3">
        <v>2500000</v>
      </c>
      <c r="E24" s="2" t="s">
        <v>7</v>
      </c>
    </row>
    <row r="25" spans="1:5" x14ac:dyDescent="0.3">
      <c r="A25" s="22"/>
      <c r="B25" s="2">
        <v>3</v>
      </c>
      <c r="C25" s="3">
        <v>2500000</v>
      </c>
      <c r="D25" s="3">
        <v>480000</v>
      </c>
      <c r="E25" s="2" t="s">
        <v>20</v>
      </c>
    </row>
    <row r="26" spans="1:5" x14ac:dyDescent="0.3">
      <c r="A26" s="22"/>
      <c r="B26" s="2">
        <v>4</v>
      </c>
      <c r="C26" s="3">
        <v>2500000</v>
      </c>
      <c r="D26" s="3">
        <v>2500000</v>
      </c>
      <c r="E26" s="2" t="s">
        <v>8</v>
      </c>
    </row>
    <row r="27" spans="1:5" x14ac:dyDescent="0.3">
      <c r="A27" s="22" t="s">
        <v>14</v>
      </c>
      <c r="B27" s="2">
        <v>1</v>
      </c>
      <c r="C27" s="3">
        <v>2500000</v>
      </c>
      <c r="D27" s="3">
        <v>2500000</v>
      </c>
      <c r="E27" s="2" t="s">
        <v>7</v>
      </c>
    </row>
    <row r="28" spans="1:5" x14ac:dyDescent="0.3">
      <c r="A28" s="22"/>
      <c r="B28" s="2">
        <v>2</v>
      </c>
      <c r="C28" s="3">
        <v>2500000</v>
      </c>
      <c r="D28" s="3">
        <v>550000</v>
      </c>
      <c r="E28" s="2" t="s">
        <v>44</v>
      </c>
    </row>
    <row r="29" spans="1:5" x14ac:dyDescent="0.3">
      <c r="A29" s="22"/>
      <c r="B29" s="2">
        <v>3</v>
      </c>
      <c r="C29" s="3">
        <v>2500000</v>
      </c>
      <c r="D29" s="3">
        <v>500000</v>
      </c>
      <c r="E29" s="2" t="s">
        <v>20</v>
      </c>
    </row>
    <row r="30" spans="1:5" x14ac:dyDescent="0.3">
      <c r="A30" s="22"/>
      <c r="B30" s="2">
        <v>4</v>
      </c>
      <c r="C30" s="3">
        <v>2500000</v>
      </c>
      <c r="D30" s="3">
        <v>2500000</v>
      </c>
      <c r="E30" s="2" t="s">
        <v>8</v>
      </c>
    </row>
    <row r="31" spans="1:5" x14ac:dyDescent="0.3">
      <c r="A31" s="22" t="s">
        <v>24</v>
      </c>
      <c r="B31" s="2">
        <v>1</v>
      </c>
      <c r="C31" s="3">
        <v>2500000</v>
      </c>
      <c r="D31" s="3">
        <v>2500000</v>
      </c>
      <c r="E31" s="2" t="s">
        <v>7</v>
      </c>
    </row>
    <row r="32" spans="1:5" x14ac:dyDescent="0.3">
      <c r="A32" s="22"/>
      <c r="B32" s="2">
        <v>2</v>
      </c>
      <c r="C32" s="3">
        <v>2500000</v>
      </c>
      <c r="D32" s="3">
        <v>3500000</v>
      </c>
      <c r="E32" s="2" t="s">
        <v>8</v>
      </c>
    </row>
    <row r="33" spans="1:5" x14ac:dyDescent="0.3">
      <c r="A33" s="22"/>
      <c r="B33" s="2">
        <v>3</v>
      </c>
      <c r="C33" s="3">
        <v>2500000</v>
      </c>
      <c r="D33" s="3">
        <v>420000</v>
      </c>
      <c r="E33" s="2" t="s">
        <v>20</v>
      </c>
    </row>
    <row r="34" spans="1:5" x14ac:dyDescent="0.3">
      <c r="A34" s="22"/>
      <c r="B34" s="2">
        <v>4</v>
      </c>
      <c r="C34" s="3">
        <v>2500000</v>
      </c>
      <c r="D34" s="3"/>
      <c r="E34" s="2"/>
    </row>
    <row r="35" spans="1:5" x14ac:dyDescent="0.3">
      <c r="A35" s="22" t="s">
        <v>25</v>
      </c>
      <c r="B35" s="2">
        <v>1</v>
      </c>
      <c r="C35" s="3">
        <v>2500000</v>
      </c>
      <c r="D35" s="3">
        <v>2500000</v>
      </c>
      <c r="E35" s="2" t="s">
        <v>7</v>
      </c>
    </row>
    <row r="36" spans="1:5" x14ac:dyDescent="0.3">
      <c r="A36" s="22"/>
      <c r="B36" s="2">
        <v>2</v>
      </c>
      <c r="C36" s="3">
        <v>2500000</v>
      </c>
      <c r="D36" s="3">
        <v>1000000</v>
      </c>
      <c r="E36" s="2" t="s">
        <v>71</v>
      </c>
    </row>
    <row r="37" spans="1:5" x14ac:dyDescent="0.3">
      <c r="A37" s="22"/>
      <c r="B37" s="2">
        <v>3</v>
      </c>
      <c r="C37" s="3">
        <v>2500000</v>
      </c>
      <c r="D37" s="3">
        <v>570000</v>
      </c>
      <c r="E37" s="2" t="s">
        <v>20</v>
      </c>
    </row>
    <row r="38" spans="1:5" x14ac:dyDescent="0.3">
      <c r="A38" s="22"/>
      <c r="B38" s="2">
        <v>4</v>
      </c>
      <c r="C38" s="3">
        <v>2500000</v>
      </c>
      <c r="D38" s="3">
        <v>2500000</v>
      </c>
      <c r="E38" s="2" t="s">
        <v>8</v>
      </c>
    </row>
    <row r="39" spans="1:5" x14ac:dyDescent="0.3">
      <c r="A39" s="22" t="s">
        <v>15</v>
      </c>
      <c r="B39" s="2">
        <v>1</v>
      </c>
      <c r="C39" s="3">
        <v>2500000</v>
      </c>
      <c r="D39" s="3">
        <v>3000000</v>
      </c>
      <c r="E39" s="2" t="s">
        <v>7</v>
      </c>
    </row>
    <row r="40" spans="1:5" x14ac:dyDescent="0.3">
      <c r="A40" s="22"/>
      <c r="B40" s="2">
        <v>2</v>
      </c>
      <c r="C40" s="3"/>
      <c r="D40" s="3">
        <v>3500000</v>
      </c>
      <c r="E40" s="2" t="s">
        <v>72</v>
      </c>
    </row>
    <row r="41" spans="1:5" x14ac:dyDescent="0.3">
      <c r="A41" s="22"/>
      <c r="B41" s="2">
        <v>3</v>
      </c>
      <c r="C41" s="3">
        <v>2500000</v>
      </c>
      <c r="D41" s="3">
        <v>2500000</v>
      </c>
      <c r="E41" s="2" t="s">
        <v>8</v>
      </c>
    </row>
    <row r="42" spans="1:5" x14ac:dyDescent="0.3">
      <c r="A42" s="22"/>
      <c r="B42" s="2">
        <v>4</v>
      </c>
      <c r="C42" s="3">
        <v>2500000</v>
      </c>
      <c r="D42" s="3">
        <v>450000</v>
      </c>
      <c r="E42" s="2" t="s">
        <v>20</v>
      </c>
    </row>
    <row r="43" spans="1:5" x14ac:dyDescent="0.3">
      <c r="A43" s="24" t="s">
        <v>16</v>
      </c>
      <c r="B43" s="2">
        <v>1</v>
      </c>
      <c r="C43" s="3">
        <v>2500000</v>
      </c>
      <c r="D43" s="3">
        <v>3000000</v>
      </c>
      <c r="E43" s="2" t="s">
        <v>7</v>
      </c>
    </row>
    <row r="44" spans="1:5" x14ac:dyDescent="0.3">
      <c r="A44" s="25"/>
      <c r="B44" s="2">
        <v>2</v>
      </c>
      <c r="C44" s="3"/>
      <c r="D44" s="3">
        <v>570000</v>
      </c>
      <c r="E44" s="2" t="s">
        <v>20</v>
      </c>
    </row>
    <row r="45" spans="1:5" x14ac:dyDescent="0.3">
      <c r="A45" s="25"/>
      <c r="B45" s="2">
        <v>3</v>
      </c>
      <c r="C45" s="3">
        <v>2500000</v>
      </c>
      <c r="D45" s="3">
        <v>2500000</v>
      </c>
      <c r="E45" s="2" t="s">
        <v>8</v>
      </c>
    </row>
    <row r="46" spans="1:5" x14ac:dyDescent="0.3">
      <c r="A46" s="26"/>
      <c r="B46" s="2">
        <v>4</v>
      </c>
      <c r="C46" s="3">
        <v>2500000</v>
      </c>
      <c r="D46" s="3"/>
      <c r="E46" s="2"/>
    </row>
    <row r="47" spans="1:5" x14ac:dyDescent="0.3">
      <c r="A47" s="24" t="s">
        <v>17</v>
      </c>
      <c r="B47" s="2">
        <v>1</v>
      </c>
      <c r="C47" s="3">
        <v>2500000</v>
      </c>
      <c r="D47" s="3">
        <v>2500000</v>
      </c>
      <c r="E47" s="2" t="s">
        <v>7</v>
      </c>
    </row>
    <row r="48" spans="1:5" x14ac:dyDescent="0.3">
      <c r="A48" s="25"/>
      <c r="B48" s="2">
        <v>2</v>
      </c>
      <c r="C48" s="3"/>
      <c r="D48" s="3">
        <v>2500000</v>
      </c>
      <c r="E48" s="2" t="s">
        <v>8</v>
      </c>
    </row>
    <row r="49" spans="1:5" x14ac:dyDescent="0.3">
      <c r="A49" s="25"/>
      <c r="B49" s="2">
        <v>3</v>
      </c>
      <c r="C49" s="3">
        <v>2500000</v>
      </c>
      <c r="D49" s="3">
        <v>420000</v>
      </c>
      <c r="E49" s="2" t="s">
        <v>20</v>
      </c>
    </row>
    <row r="50" spans="1:5" x14ac:dyDescent="0.3">
      <c r="A50" s="25"/>
      <c r="B50" s="2">
        <v>4</v>
      </c>
      <c r="C50" s="3">
        <v>2500000</v>
      </c>
      <c r="D50" s="3">
        <v>2500000</v>
      </c>
      <c r="E50" s="2" t="s">
        <v>7</v>
      </c>
    </row>
    <row r="51" spans="1:5" x14ac:dyDescent="0.3">
      <c r="A51" s="25"/>
      <c r="B51" s="2"/>
      <c r="C51" s="3"/>
      <c r="D51" s="3"/>
      <c r="E51" s="2"/>
    </row>
    <row r="52" spans="1:5" x14ac:dyDescent="0.3">
      <c r="A52" s="25"/>
      <c r="B52" s="2"/>
      <c r="C52" s="3"/>
      <c r="D52" s="3"/>
      <c r="E52" s="2"/>
    </row>
    <row r="53" spans="1:5" x14ac:dyDescent="0.3">
      <c r="A53" s="26"/>
      <c r="B53" s="2"/>
      <c r="C53" s="3"/>
      <c r="D53" s="3"/>
      <c r="E53" s="2"/>
    </row>
    <row r="54" spans="1:5" x14ac:dyDescent="0.3">
      <c r="A54" s="6" t="s">
        <v>18</v>
      </c>
      <c r="B54" s="2"/>
      <c r="C54" s="3">
        <f>SUM(C2:C53)</f>
        <v>121050000</v>
      </c>
      <c r="D54" s="3">
        <f>SUM(D1:D53)</f>
        <v>83667000</v>
      </c>
      <c r="E54" s="3">
        <f>(D54-C54)</f>
        <v>-37383000</v>
      </c>
    </row>
    <row r="55" spans="1:5" x14ac:dyDescent="0.3">
      <c r="E55" s="3"/>
    </row>
    <row r="56" spans="1:5" x14ac:dyDescent="0.3">
      <c r="E56" s="8"/>
    </row>
  </sheetData>
  <mergeCells count="12">
    <mergeCell ref="A47:A53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54"/>
  <sheetViews>
    <sheetView rightToLeft="1" topLeftCell="A40" zoomScale="115" zoomScaleNormal="115" workbookViewId="0">
      <selection activeCell="E56" sqref="E56"/>
    </sheetView>
  </sheetViews>
  <sheetFormatPr defaultColWidth="8.77734375" defaultRowHeight="18" x14ac:dyDescent="0.55000000000000004"/>
  <cols>
    <col min="1" max="2" width="8.77734375" style="12"/>
    <col min="3" max="5" width="12.77734375" style="12" customWidth="1"/>
    <col min="6" max="16384" width="8.77734375" style="12"/>
  </cols>
  <sheetData>
    <row r="1" spans="1:5" x14ac:dyDescent="0.55000000000000004">
      <c r="A1" s="10" t="s">
        <v>2</v>
      </c>
      <c r="B1" s="10" t="s">
        <v>3</v>
      </c>
      <c r="C1" s="10" t="s">
        <v>0</v>
      </c>
      <c r="D1" s="11" t="s">
        <v>1</v>
      </c>
      <c r="E1" s="10" t="s">
        <v>4</v>
      </c>
    </row>
    <row r="2" spans="1:5" x14ac:dyDescent="0.55000000000000004">
      <c r="A2" s="10" t="s">
        <v>73</v>
      </c>
      <c r="B2" s="13"/>
      <c r="C2" s="11"/>
      <c r="D2" s="11"/>
      <c r="E2" s="10"/>
    </row>
    <row r="3" spans="1:5" x14ac:dyDescent="0.55000000000000004">
      <c r="A3" s="21" t="s">
        <v>6</v>
      </c>
      <c r="B3" s="10">
        <v>1</v>
      </c>
      <c r="C3" s="11">
        <v>3000000</v>
      </c>
      <c r="D3" s="11">
        <v>3500000</v>
      </c>
      <c r="E3" s="10" t="s">
        <v>8</v>
      </c>
    </row>
    <row r="4" spans="1:5" x14ac:dyDescent="0.55000000000000004">
      <c r="A4" s="21"/>
      <c r="B4" s="10">
        <v>2</v>
      </c>
      <c r="C4" s="11">
        <v>3000000</v>
      </c>
      <c r="D4" s="11"/>
      <c r="E4" s="10"/>
    </row>
    <row r="5" spans="1:5" x14ac:dyDescent="0.55000000000000004">
      <c r="A5" s="21"/>
      <c r="B5" s="10">
        <v>3</v>
      </c>
      <c r="C5" s="11">
        <v>3000000</v>
      </c>
      <c r="D5" s="11"/>
      <c r="E5" s="10"/>
    </row>
    <row r="6" spans="1:5" x14ac:dyDescent="0.55000000000000004">
      <c r="A6" s="21"/>
      <c r="B6" s="10">
        <v>4</v>
      </c>
      <c r="C6" s="11">
        <v>3000000</v>
      </c>
      <c r="D6" s="11"/>
      <c r="E6" s="10"/>
    </row>
    <row r="7" spans="1:5" x14ac:dyDescent="0.55000000000000004">
      <c r="A7" s="21" t="s">
        <v>9</v>
      </c>
      <c r="B7" s="10">
        <v>1</v>
      </c>
      <c r="C7" s="11">
        <v>3000000</v>
      </c>
      <c r="D7" s="11">
        <v>3500000</v>
      </c>
      <c r="E7" s="10" t="s">
        <v>8</v>
      </c>
    </row>
    <row r="8" spans="1:5" x14ac:dyDescent="0.55000000000000004">
      <c r="A8" s="21"/>
      <c r="B8" s="10">
        <v>2</v>
      </c>
      <c r="C8" s="11">
        <v>3000000</v>
      </c>
      <c r="D8" s="11">
        <v>3000000</v>
      </c>
      <c r="E8" s="10" t="s">
        <v>7</v>
      </c>
    </row>
    <row r="9" spans="1:5" x14ac:dyDescent="0.55000000000000004">
      <c r="A9" s="21"/>
      <c r="B9" s="10">
        <v>3</v>
      </c>
      <c r="C9" s="11">
        <v>3000000</v>
      </c>
      <c r="D9" s="11">
        <v>1300000</v>
      </c>
      <c r="E9" s="10" t="s">
        <v>7</v>
      </c>
    </row>
    <row r="10" spans="1:5" x14ac:dyDescent="0.55000000000000004">
      <c r="A10" s="21"/>
      <c r="B10" s="10">
        <v>4</v>
      </c>
      <c r="C10" s="11">
        <v>3000000</v>
      </c>
      <c r="D10" s="11"/>
      <c r="E10" s="10"/>
    </row>
    <row r="11" spans="1:5" x14ac:dyDescent="0.55000000000000004">
      <c r="A11" s="21" t="s">
        <v>10</v>
      </c>
      <c r="B11" s="10">
        <v>1</v>
      </c>
      <c r="C11" s="11">
        <v>3000000</v>
      </c>
      <c r="D11" s="11">
        <v>3500000</v>
      </c>
      <c r="E11" s="10" t="s">
        <v>8</v>
      </c>
    </row>
    <row r="12" spans="1:5" x14ac:dyDescent="0.55000000000000004">
      <c r="A12" s="21"/>
      <c r="B12" s="10">
        <v>2</v>
      </c>
      <c r="C12" s="11">
        <v>3000000</v>
      </c>
      <c r="D12" s="11">
        <v>660000</v>
      </c>
      <c r="E12" s="10" t="s">
        <v>20</v>
      </c>
    </row>
    <row r="13" spans="1:5" x14ac:dyDescent="0.55000000000000004">
      <c r="A13" s="21"/>
      <c r="B13" s="10">
        <v>3</v>
      </c>
      <c r="C13" s="11">
        <v>3000000</v>
      </c>
      <c r="D13" s="11">
        <v>3000000</v>
      </c>
      <c r="E13" s="10" t="s">
        <v>7</v>
      </c>
    </row>
    <row r="14" spans="1:5" x14ac:dyDescent="0.55000000000000004">
      <c r="A14" s="21"/>
      <c r="B14" s="10">
        <v>4</v>
      </c>
      <c r="C14" s="11">
        <v>3000000</v>
      </c>
      <c r="D14" s="11"/>
      <c r="E14" s="10"/>
    </row>
    <row r="15" spans="1:5" x14ac:dyDescent="0.55000000000000004">
      <c r="A15" s="21" t="s">
        <v>11</v>
      </c>
      <c r="B15" s="10">
        <v>1</v>
      </c>
      <c r="C15" s="11">
        <v>3000000</v>
      </c>
      <c r="D15" s="11">
        <v>3500000</v>
      </c>
      <c r="E15" s="10" t="s">
        <v>8</v>
      </c>
    </row>
    <row r="16" spans="1:5" x14ac:dyDescent="0.55000000000000004">
      <c r="A16" s="21"/>
      <c r="B16" s="10">
        <v>2</v>
      </c>
      <c r="C16" s="11">
        <v>3000000</v>
      </c>
      <c r="D16" s="11">
        <v>810000</v>
      </c>
      <c r="E16" s="10" t="s">
        <v>20</v>
      </c>
    </row>
    <row r="17" spans="1:5" x14ac:dyDescent="0.55000000000000004">
      <c r="A17" s="21"/>
      <c r="B17" s="10">
        <v>3</v>
      </c>
      <c r="C17" s="11">
        <v>3000000</v>
      </c>
      <c r="D17" s="11"/>
      <c r="E17" s="10"/>
    </row>
    <row r="18" spans="1:5" x14ac:dyDescent="0.55000000000000004">
      <c r="A18" s="21"/>
      <c r="B18" s="10">
        <v>4</v>
      </c>
      <c r="C18" s="11">
        <v>3000000</v>
      </c>
      <c r="D18" s="11"/>
      <c r="E18" s="10"/>
    </row>
    <row r="19" spans="1:5" x14ac:dyDescent="0.55000000000000004">
      <c r="A19" s="21" t="s">
        <v>12</v>
      </c>
      <c r="B19" s="10">
        <v>1</v>
      </c>
      <c r="C19" s="11">
        <v>3000000</v>
      </c>
      <c r="D19" s="11">
        <v>3000000</v>
      </c>
      <c r="E19" s="10" t="s">
        <v>7</v>
      </c>
    </row>
    <row r="20" spans="1:5" x14ac:dyDescent="0.55000000000000004">
      <c r="A20" s="21"/>
      <c r="B20" s="10">
        <v>2</v>
      </c>
      <c r="C20" s="11">
        <v>3000000</v>
      </c>
      <c r="D20" s="11">
        <v>3500000</v>
      </c>
      <c r="E20" s="10" t="s">
        <v>8</v>
      </c>
    </row>
    <row r="21" spans="1:5" x14ac:dyDescent="0.55000000000000004">
      <c r="A21" s="21"/>
      <c r="B21" s="10">
        <v>3</v>
      </c>
      <c r="C21" s="11">
        <v>3000000</v>
      </c>
      <c r="D21" s="11"/>
      <c r="E21" s="10"/>
    </row>
    <row r="22" spans="1:5" x14ac:dyDescent="0.55000000000000004">
      <c r="A22" s="21"/>
      <c r="B22" s="10">
        <v>4</v>
      </c>
      <c r="C22" s="11">
        <v>3000000</v>
      </c>
      <c r="D22" s="14"/>
      <c r="E22" s="10"/>
    </row>
    <row r="23" spans="1:5" x14ac:dyDescent="0.55000000000000004">
      <c r="A23" s="21" t="s">
        <v>13</v>
      </c>
      <c r="B23" s="10">
        <v>1</v>
      </c>
      <c r="C23" s="11">
        <v>3000000</v>
      </c>
      <c r="D23" s="11">
        <v>3500000</v>
      </c>
      <c r="E23" s="10" t="s">
        <v>7</v>
      </c>
    </row>
    <row r="24" spans="1:5" x14ac:dyDescent="0.55000000000000004">
      <c r="A24" s="21"/>
      <c r="B24" s="10">
        <v>2</v>
      </c>
      <c r="C24" s="11">
        <v>3000000</v>
      </c>
      <c r="D24" s="11">
        <v>3500000</v>
      </c>
      <c r="E24" s="10" t="s">
        <v>8</v>
      </c>
    </row>
    <row r="25" spans="1:5" x14ac:dyDescent="0.55000000000000004">
      <c r="A25" s="21"/>
      <c r="B25" s="10">
        <v>3</v>
      </c>
      <c r="C25" s="11">
        <v>3000000</v>
      </c>
      <c r="D25" s="11">
        <v>1130000</v>
      </c>
      <c r="E25" s="10" t="s">
        <v>20</v>
      </c>
    </row>
    <row r="26" spans="1:5" x14ac:dyDescent="0.55000000000000004">
      <c r="A26" s="21"/>
      <c r="B26" s="10">
        <v>4</v>
      </c>
      <c r="C26" s="11">
        <v>3000000</v>
      </c>
      <c r="D26" s="11"/>
      <c r="E26" s="10"/>
    </row>
    <row r="27" spans="1:5" x14ac:dyDescent="0.55000000000000004">
      <c r="A27" s="21" t="s">
        <v>14</v>
      </c>
      <c r="B27" s="10">
        <v>1</v>
      </c>
      <c r="C27" s="11">
        <v>3000000</v>
      </c>
      <c r="D27" s="11">
        <v>3000000</v>
      </c>
      <c r="E27" s="10" t="s">
        <v>7</v>
      </c>
    </row>
    <row r="28" spans="1:5" x14ac:dyDescent="0.55000000000000004">
      <c r="A28" s="21"/>
      <c r="B28" s="10">
        <v>2</v>
      </c>
      <c r="C28" s="11">
        <v>3000000</v>
      </c>
      <c r="D28" s="11">
        <v>3500000</v>
      </c>
      <c r="E28" s="10" t="s">
        <v>8</v>
      </c>
    </row>
    <row r="29" spans="1:5" x14ac:dyDescent="0.55000000000000004">
      <c r="A29" s="21"/>
      <c r="B29" s="10">
        <v>3</v>
      </c>
      <c r="C29" s="11">
        <v>3000000</v>
      </c>
      <c r="D29" s="11"/>
      <c r="E29" s="10"/>
    </row>
    <row r="30" spans="1:5" x14ac:dyDescent="0.55000000000000004">
      <c r="A30" s="21"/>
      <c r="B30" s="10">
        <v>4</v>
      </c>
      <c r="C30" s="11">
        <v>3000000</v>
      </c>
      <c r="D30" s="11"/>
      <c r="E30" s="10"/>
    </row>
    <row r="31" spans="1:5" x14ac:dyDescent="0.55000000000000004">
      <c r="A31" s="21" t="s">
        <v>24</v>
      </c>
      <c r="B31" s="10">
        <v>1</v>
      </c>
      <c r="C31" s="11">
        <v>3000000</v>
      </c>
      <c r="D31" s="11"/>
      <c r="E31" s="10"/>
    </row>
    <row r="32" spans="1:5" x14ac:dyDescent="0.55000000000000004">
      <c r="A32" s="21"/>
      <c r="B32" s="10">
        <v>2</v>
      </c>
      <c r="C32" s="11">
        <v>3000000</v>
      </c>
      <c r="D32" s="11">
        <v>4000000</v>
      </c>
      <c r="E32" s="10" t="s">
        <v>7</v>
      </c>
    </row>
    <row r="33" spans="1:5" x14ac:dyDescent="0.55000000000000004">
      <c r="A33" s="21"/>
      <c r="B33" s="10">
        <v>3</v>
      </c>
      <c r="C33" s="11">
        <v>3000000</v>
      </c>
      <c r="D33" s="11">
        <v>1200000</v>
      </c>
      <c r="E33" s="10" t="s">
        <v>20</v>
      </c>
    </row>
    <row r="34" spans="1:5" x14ac:dyDescent="0.55000000000000004">
      <c r="A34" s="21"/>
      <c r="B34" s="10">
        <v>4</v>
      </c>
      <c r="C34" s="11">
        <v>3000000</v>
      </c>
      <c r="D34" s="11">
        <v>17000000</v>
      </c>
      <c r="E34" s="17" t="s">
        <v>74</v>
      </c>
    </row>
    <row r="35" spans="1:5" x14ac:dyDescent="0.55000000000000004">
      <c r="A35" s="21" t="s">
        <v>25</v>
      </c>
      <c r="B35" s="10">
        <v>1</v>
      </c>
      <c r="C35" s="11">
        <v>3000000</v>
      </c>
      <c r="D35" s="11"/>
      <c r="E35" s="10"/>
    </row>
    <row r="36" spans="1:5" x14ac:dyDescent="0.55000000000000004">
      <c r="A36" s="21"/>
      <c r="B36" s="10">
        <v>2</v>
      </c>
      <c r="C36" s="11">
        <v>3000000</v>
      </c>
      <c r="D36" s="11">
        <v>3500000</v>
      </c>
      <c r="E36" s="10" t="s">
        <v>8</v>
      </c>
    </row>
    <row r="37" spans="1:5" x14ac:dyDescent="0.55000000000000004">
      <c r="A37" s="21"/>
      <c r="B37" s="10">
        <v>3</v>
      </c>
      <c r="C37" s="11">
        <v>3000000</v>
      </c>
      <c r="D37" s="11">
        <v>1500000</v>
      </c>
      <c r="E37" s="10" t="s">
        <v>36</v>
      </c>
    </row>
    <row r="38" spans="1:5" x14ac:dyDescent="0.55000000000000004">
      <c r="A38" s="21"/>
      <c r="B38" s="10">
        <v>4</v>
      </c>
      <c r="C38" s="11">
        <v>3000000</v>
      </c>
      <c r="D38" s="11">
        <v>4000000</v>
      </c>
      <c r="E38" s="10" t="s">
        <v>7</v>
      </c>
    </row>
    <row r="39" spans="1:5" x14ac:dyDescent="0.55000000000000004">
      <c r="A39" s="21" t="s">
        <v>15</v>
      </c>
      <c r="B39" s="10">
        <v>1</v>
      </c>
      <c r="C39" s="11">
        <v>3000000</v>
      </c>
      <c r="D39" s="11">
        <v>1450000</v>
      </c>
      <c r="E39" s="10" t="s">
        <v>20</v>
      </c>
    </row>
    <row r="40" spans="1:5" x14ac:dyDescent="0.55000000000000004">
      <c r="A40" s="21"/>
      <c r="B40" s="10">
        <v>2</v>
      </c>
      <c r="C40" s="11">
        <v>3000000</v>
      </c>
      <c r="D40" s="11">
        <v>3500000</v>
      </c>
      <c r="E40" s="10" t="s">
        <v>8</v>
      </c>
    </row>
    <row r="41" spans="1:5" x14ac:dyDescent="0.55000000000000004">
      <c r="A41" s="21"/>
      <c r="B41" s="10">
        <v>3</v>
      </c>
      <c r="C41" s="11">
        <v>3000000</v>
      </c>
      <c r="D41" s="11">
        <v>3500000</v>
      </c>
      <c r="E41" s="10" t="s">
        <v>7</v>
      </c>
    </row>
    <row r="42" spans="1:5" x14ac:dyDescent="0.55000000000000004">
      <c r="A42" s="21"/>
      <c r="B42" s="10">
        <v>4</v>
      </c>
      <c r="C42" s="11">
        <v>3000000</v>
      </c>
      <c r="D42" s="11"/>
      <c r="E42" s="10"/>
    </row>
    <row r="43" spans="1:5" x14ac:dyDescent="0.55000000000000004">
      <c r="A43" s="18" t="s">
        <v>16</v>
      </c>
      <c r="B43" s="10">
        <v>1</v>
      </c>
      <c r="C43" s="11">
        <v>3000000</v>
      </c>
      <c r="D43" s="11">
        <v>850000</v>
      </c>
      <c r="E43" s="10" t="s">
        <v>20</v>
      </c>
    </row>
    <row r="44" spans="1:5" x14ac:dyDescent="0.55000000000000004">
      <c r="A44" s="19"/>
      <c r="B44" s="10">
        <v>2</v>
      </c>
      <c r="C44" s="11">
        <v>3000000</v>
      </c>
      <c r="D44" s="11">
        <v>3500000</v>
      </c>
      <c r="E44" s="10" t="s">
        <v>8</v>
      </c>
    </row>
    <row r="45" spans="1:5" x14ac:dyDescent="0.55000000000000004">
      <c r="A45" s="19"/>
      <c r="B45" s="10">
        <v>3</v>
      </c>
      <c r="C45" s="11">
        <v>3000000</v>
      </c>
      <c r="D45" s="11"/>
      <c r="E45" s="10"/>
    </row>
    <row r="46" spans="1:5" x14ac:dyDescent="0.55000000000000004">
      <c r="A46" s="20"/>
      <c r="B46" s="10">
        <v>4</v>
      </c>
      <c r="C46" s="11">
        <v>3000000</v>
      </c>
      <c r="D46" s="11"/>
      <c r="E46" s="10"/>
    </row>
    <row r="47" spans="1:5" x14ac:dyDescent="0.55000000000000004">
      <c r="A47" s="18" t="s">
        <v>17</v>
      </c>
      <c r="B47" s="10">
        <v>1</v>
      </c>
      <c r="C47" s="11">
        <v>3000000</v>
      </c>
      <c r="D47" s="11">
        <v>5000000</v>
      </c>
      <c r="E47" s="10" t="s">
        <v>7</v>
      </c>
    </row>
    <row r="48" spans="1:5" x14ac:dyDescent="0.55000000000000004">
      <c r="A48" s="19"/>
      <c r="B48" s="10">
        <v>2</v>
      </c>
      <c r="C48" s="11">
        <v>3000000</v>
      </c>
      <c r="D48" s="11">
        <v>3000000</v>
      </c>
      <c r="E48" s="10" t="s">
        <v>75</v>
      </c>
    </row>
    <row r="49" spans="1:6" x14ac:dyDescent="0.55000000000000004">
      <c r="A49" s="19"/>
      <c r="B49" s="10">
        <v>3</v>
      </c>
      <c r="C49" s="11">
        <v>3000000</v>
      </c>
      <c r="D49" s="11">
        <v>3500000</v>
      </c>
      <c r="E49" s="10" t="s">
        <v>8</v>
      </c>
    </row>
    <row r="50" spans="1:6" x14ac:dyDescent="0.55000000000000004">
      <c r="A50" s="19"/>
      <c r="B50" s="10">
        <v>4</v>
      </c>
      <c r="C50" s="11">
        <v>3000000</v>
      </c>
      <c r="D50" s="11">
        <v>800000</v>
      </c>
      <c r="E50" s="10" t="s">
        <v>20</v>
      </c>
    </row>
    <row r="51" spans="1:6" x14ac:dyDescent="0.55000000000000004">
      <c r="A51" s="19"/>
      <c r="B51" s="10"/>
      <c r="C51" s="11"/>
      <c r="D51" s="11"/>
      <c r="E51" s="10"/>
    </row>
    <row r="52" spans="1:6" x14ac:dyDescent="0.55000000000000004">
      <c r="A52" s="19"/>
      <c r="B52" s="10"/>
      <c r="C52" s="11"/>
      <c r="D52" s="11"/>
      <c r="E52" s="10"/>
    </row>
    <row r="53" spans="1:6" x14ac:dyDescent="0.55000000000000004">
      <c r="A53" s="20"/>
      <c r="B53" s="10"/>
      <c r="C53" s="11"/>
      <c r="D53" s="11"/>
      <c r="E53" s="10"/>
    </row>
    <row r="54" spans="1:6" x14ac:dyDescent="0.55000000000000004">
      <c r="A54" s="15" t="s">
        <v>18</v>
      </c>
      <c r="B54" s="10"/>
      <c r="C54" s="11">
        <f>SUM(C2:C53)</f>
        <v>144000000</v>
      </c>
      <c r="D54" s="11">
        <f>SUM(D2:D53)</f>
        <v>100200000</v>
      </c>
      <c r="E54" s="11">
        <f>D54-C54</f>
        <v>-43800000</v>
      </c>
      <c r="F54" s="16"/>
    </row>
  </sheetData>
  <mergeCells count="12">
    <mergeCell ref="A47:A53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63790-209C-4A51-8AFB-EF16193FDE9E}">
  <sheetPr codeName="Sheet5"/>
  <dimension ref="A1:F54"/>
  <sheetViews>
    <sheetView rightToLeft="1" tabSelected="1" topLeftCell="A11" zoomScale="115" zoomScaleNormal="115" workbookViewId="0">
      <selection activeCell="C19" sqref="C19"/>
    </sheetView>
  </sheetViews>
  <sheetFormatPr defaultColWidth="8.77734375" defaultRowHeight="18" x14ac:dyDescent="0.55000000000000004"/>
  <cols>
    <col min="1" max="2" width="8.77734375" style="12"/>
    <col min="3" max="5" width="12.77734375" style="12" customWidth="1"/>
    <col min="6" max="16384" width="8.77734375" style="12"/>
  </cols>
  <sheetData>
    <row r="1" spans="1:5" x14ac:dyDescent="0.55000000000000004">
      <c r="A1" s="10" t="s">
        <v>2</v>
      </c>
      <c r="B1" s="10" t="s">
        <v>3</v>
      </c>
      <c r="C1" s="10" t="s">
        <v>0</v>
      </c>
      <c r="D1" s="11" t="s">
        <v>1</v>
      </c>
      <c r="E1" s="10" t="s">
        <v>4</v>
      </c>
    </row>
    <row r="2" spans="1:5" x14ac:dyDescent="0.55000000000000004">
      <c r="A2" s="10" t="s">
        <v>76</v>
      </c>
      <c r="B2" s="13"/>
      <c r="C2" s="11">
        <v>43800000</v>
      </c>
      <c r="D2" s="11"/>
      <c r="E2" s="10"/>
    </row>
    <row r="3" spans="1:5" x14ac:dyDescent="0.55000000000000004">
      <c r="A3" s="21" t="s">
        <v>6</v>
      </c>
      <c r="B3" s="10">
        <v>1</v>
      </c>
      <c r="C3" s="11">
        <v>5000000</v>
      </c>
      <c r="D3" s="11">
        <v>850000</v>
      </c>
      <c r="E3" s="10" t="s">
        <v>20</v>
      </c>
    </row>
    <row r="4" spans="1:5" x14ac:dyDescent="0.55000000000000004">
      <c r="A4" s="21"/>
      <c r="B4" s="10">
        <v>2</v>
      </c>
      <c r="C4" s="11"/>
      <c r="D4" s="11">
        <v>5000000</v>
      </c>
      <c r="E4" s="10" t="s">
        <v>8</v>
      </c>
    </row>
    <row r="5" spans="1:5" x14ac:dyDescent="0.55000000000000004">
      <c r="A5" s="21"/>
      <c r="B5" s="10">
        <v>3</v>
      </c>
      <c r="C5" s="11">
        <v>5000000</v>
      </c>
      <c r="D5" s="11">
        <v>1700000</v>
      </c>
      <c r="E5" s="10" t="s">
        <v>35</v>
      </c>
    </row>
    <row r="6" spans="1:5" x14ac:dyDescent="0.55000000000000004">
      <c r="A6" s="21"/>
      <c r="B6" s="10">
        <v>4</v>
      </c>
      <c r="C6" s="11"/>
      <c r="D6" s="11">
        <v>6000000</v>
      </c>
      <c r="E6" s="10" t="s">
        <v>7</v>
      </c>
    </row>
    <row r="7" spans="1:5" x14ac:dyDescent="0.55000000000000004">
      <c r="A7" s="21" t="s">
        <v>9</v>
      </c>
      <c r="B7" s="10">
        <v>1</v>
      </c>
      <c r="C7" s="11">
        <v>5000000</v>
      </c>
      <c r="D7" s="11">
        <v>5000000</v>
      </c>
      <c r="E7" s="10"/>
    </row>
    <row r="8" spans="1:5" x14ac:dyDescent="0.55000000000000004">
      <c r="A8" s="21"/>
      <c r="B8" s="10">
        <v>2</v>
      </c>
      <c r="C8" s="11"/>
      <c r="D8" s="11"/>
      <c r="E8" s="10"/>
    </row>
    <row r="9" spans="1:5" x14ac:dyDescent="0.55000000000000004">
      <c r="A9" s="21"/>
      <c r="B9" s="10">
        <v>3</v>
      </c>
      <c r="C9" s="11">
        <v>5000000</v>
      </c>
      <c r="D9" s="11">
        <v>5000000</v>
      </c>
      <c r="E9" s="10" t="s">
        <v>8</v>
      </c>
    </row>
    <row r="10" spans="1:5" x14ac:dyDescent="0.55000000000000004">
      <c r="A10" s="21"/>
      <c r="B10" s="10">
        <v>4</v>
      </c>
      <c r="C10" s="11"/>
      <c r="D10" s="11">
        <v>1150000</v>
      </c>
      <c r="E10" s="10" t="s">
        <v>20</v>
      </c>
    </row>
    <row r="11" spans="1:5" x14ac:dyDescent="0.55000000000000004">
      <c r="A11" s="21" t="s">
        <v>10</v>
      </c>
      <c r="B11" s="10">
        <v>1</v>
      </c>
      <c r="C11" s="11">
        <v>5000000</v>
      </c>
      <c r="D11" s="11">
        <v>5000000</v>
      </c>
      <c r="E11" s="10" t="s">
        <v>8</v>
      </c>
    </row>
    <row r="12" spans="1:5" x14ac:dyDescent="0.55000000000000004">
      <c r="A12" s="21"/>
      <c r="B12" s="10">
        <v>2</v>
      </c>
      <c r="C12" s="11"/>
      <c r="D12" s="11"/>
      <c r="E12" s="10"/>
    </row>
    <row r="13" spans="1:5" x14ac:dyDescent="0.55000000000000004">
      <c r="A13" s="21"/>
      <c r="B13" s="10">
        <v>3</v>
      </c>
      <c r="C13" s="11">
        <v>5000000</v>
      </c>
      <c r="D13" s="11"/>
      <c r="E13" s="10"/>
    </row>
    <row r="14" spans="1:5" x14ac:dyDescent="0.55000000000000004">
      <c r="A14" s="21"/>
      <c r="B14" s="10">
        <v>4</v>
      </c>
      <c r="C14" s="11"/>
      <c r="D14" s="11"/>
      <c r="E14" s="10"/>
    </row>
    <row r="15" spans="1:5" x14ac:dyDescent="0.55000000000000004">
      <c r="A15" s="21" t="s">
        <v>11</v>
      </c>
      <c r="B15" s="10">
        <v>1</v>
      </c>
      <c r="C15" s="11">
        <v>5000000</v>
      </c>
      <c r="D15" s="11">
        <v>20000000</v>
      </c>
      <c r="E15" s="10" t="s">
        <v>7</v>
      </c>
    </row>
    <row r="16" spans="1:5" x14ac:dyDescent="0.55000000000000004">
      <c r="A16" s="21"/>
      <c r="B16" s="10">
        <v>2</v>
      </c>
      <c r="C16" s="11"/>
      <c r="D16" s="11">
        <v>360000</v>
      </c>
      <c r="E16" s="10" t="s">
        <v>20</v>
      </c>
    </row>
    <row r="17" spans="1:5" x14ac:dyDescent="0.55000000000000004">
      <c r="A17" s="21"/>
      <c r="B17" s="10">
        <v>3</v>
      </c>
      <c r="C17" s="11">
        <v>5000000</v>
      </c>
      <c r="D17" s="11">
        <v>5000000</v>
      </c>
      <c r="E17" s="10" t="s">
        <v>8</v>
      </c>
    </row>
    <row r="18" spans="1:5" x14ac:dyDescent="0.55000000000000004">
      <c r="A18" s="21"/>
      <c r="B18" s="10">
        <v>4</v>
      </c>
      <c r="C18" s="11"/>
      <c r="D18" s="11"/>
      <c r="E18" s="10"/>
    </row>
    <row r="19" spans="1:5" x14ac:dyDescent="0.55000000000000004">
      <c r="A19" s="21" t="s">
        <v>12</v>
      </c>
      <c r="B19" s="10">
        <v>1</v>
      </c>
      <c r="C19" s="11"/>
      <c r="D19" s="11">
        <v>2600000</v>
      </c>
      <c r="E19" s="10" t="s">
        <v>20</v>
      </c>
    </row>
    <row r="20" spans="1:5" x14ac:dyDescent="0.55000000000000004">
      <c r="A20" s="21"/>
      <c r="B20" s="10">
        <v>2</v>
      </c>
      <c r="C20" s="11"/>
      <c r="D20" s="11">
        <v>6500000</v>
      </c>
      <c r="E20" s="10" t="s">
        <v>7</v>
      </c>
    </row>
    <row r="21" spans="1:5" x14ac:dyDescent="0.55000000000000004">
      <c r="A21" s="21"/>
      <c r="B21" s="10">
        <v>3</v>
      </c>
      <c r="C21" s="11">
        <v>5000000</v>
      </c>
      <c r="D21" s="11"/>
      <c r="E21" s="10"/>
    </row>
    <row r="22" spans="1:5" x14ac:dyDescent="0.55000000000000004">
      <c r="A22" s="21"/>
      <c r="B22" s="10">
        <v>4</v>
      </c>
      <c r="C22" s="11"/>
      <c r="D22" s="11"/>
      <c r="E22" s="10"/>
    </row>
    <row r="23" spans="1:5" x14ac:dyDescent="0.55000000000000004">
      <c r="A23" s="21" t="s">
        <v>13</v>
      </c>
      <c r="B23" s="10">
        <v>1</v>
      </c>
      <c r="C23" s="11"/>
      <c r="D23" s="11">
        <v>1160000</v>
      </c>
      <c r="E23" s="10" t="s">
        <v>20</v>
      </c>
    </row>
    <row r="24" spans="1:5" x14ac:dyDescent="0.55000000000000004">
      <c r="A24" s="21"/>
      <c r="B24" s="10">
        <v>2</v>
      </c>
      <c r="C24" s="11"/>
      <c r="D24" s="11">
        <v>6500000</v>
      </c>
      <c r="E24" s="10" t="s">
        <v>77</v>
      </c>
    </row>
    <row r="25" spans="1:5" x14ac:dyDescent="0.55000000000000004">
      <c r="A25" s="21"/>
      <c r="B25" s="10">
        <v>3</v>
      </c>
      <c r="C25" s="11">
        <v>5000000</v>
      </c>
      <c r="D25" s="11"/>
      <c r="E25" s="10"/>
    </row>
    <row r="26" spans="1:5" x14ac:dyDescent="0.55000000000000004">
      <c r="A26" s="21"/>
      <c r="B26" s="10">
        <v>4</v>
      </c>
      <c r="C26" s="11"/>
      <c r="D26" s="11"/>
      <c r="E26" s="10"/>
    </row>
    <row r="27" spans="1:5" x14ac:dyDescent="0.55000000000000004">
      <c r="A27" s="21" t="s">
        <v>14</v>
      </c>
      <c r="B27" s="10">
        <v>1</v>
      </c>
      <c r="C27" s="11"/>
      <c r="D27" s="11"/>
      <c r="E27" s="10"/>
    </row>
    <row r="28" spans="1:5" x14ac:dyDescent="0.55000000000000004">
      <c r="A28" s="21"/>
      <c r="B28" s="10">
        <v>2</v>
      </c>
      <c r="C28" s="11"/>
      <c r="D28" s="11"/>
      <c r="E28" s="10"/>
    </row>
    <row r="29" spans="1:5" x14ac:dyDescent="0.55000000000000004">
      <c r="A29" s="21"/>
      <c r="B29" s="10">
        <v>3</v>
      </c>
      <c r="C29" s="11"/>
      <c r="D29" s="11"/>
      <c r="E29" s="10"/>
    </row>
    <row r="30" spans="1:5" x14ac:dyDescent="0.55000000000000004">
      <c r="A30" s="21"/>
      <c r="B30" s="10">
        <v>4</v>
      </c>
      <c r="C30" s="11"/>
      <c r="D30" s="11"/>
      <c r="E30" s="10"/>
    </row>
    <row r="31" spans="1:5" x14ac:dyDescent="0.55000000000000004">
      <c r="A31" s="21" t="s">
        <v>24</v>
      </c>
      <c r="B31" s="10">
        <v>1</v>
      </c>
      <c r="C31" s="11"/>
      <c r="D31" s="11"/>
      <c r="E31" s="10"/>
    </row>
    <row r="32" spans="1:5" x14ac:dyDescent="0.55000000000000004">
      <c r="A32" s="21"/>
      <c r="B32" s="10">
        <v>2</v>
      </c>
      <c r="C32" s="11"/>
      <c r="D32" s="11"/>
      <c r="E32" s="10"/>
    </row>
    <row r="33" spans="1:5" x14ac:dyDescent="0.55000000000000004">
      <c r="A33" s="21"/>
      <c r="B33" s="10">
        <v>3</v>
      </c>
      <c r="C33" s="11"/>
      <c r="D33" s="11"/>
      <c r="E33" s="10"/>
    </row>
    <row r="34" spans="1:5" x14ac:dyDescent="0.55000000000000004">
      <c r="A34" s="21"/>
      <c r="B34" s="10">
        <v>4</v>
      </c>
      <c r="C34" s="11"/>
      <c r="D34" s="11"/>
      <c r="E34" s="10"/>
    </row>
    <row r="35" spans="1:5" x14ac:dyDescent="0.55000000000000004">
      <c r="A35" s="21" t="s">
        <v>25</v>
      </c>
      <c r="B35" s="10">
        <v>1</v>
      </c>
      <c r="C35" s="11"/>
      <c r="D35" s="11"/>
      <c r="E35" s="10"/>
    </row>
    <row r="36" spans="1:5" x14ac:dyDescent="0.55000000000000004">
      <c r="A36" s="21"/>
      <c r="B36" s="10">
        <v>2</v>
      </c>
      <c r="C36" s="11"/>
      <c r="D36" s="11"/>
      <c r="E36" s="10"/>
    </row>
    <row r="37" spans="1:5" x14ac:dyDescent="0.55000000000000004">
      <c r="A37" s="21"/>
      <c r="B37" s="10">
        <v>3</v>
      </c>
      <c r="C37" s="11"/>
      <c r="D37" s="11"/>
      <c r="E37" s="10"/>
    </row>
    <row r="38" spans="1:5" x14ac:dyDescent="0.55000000000000004">
      <c r="A38" s="21"/>
      <c r="B38" s="10">
        <v>4</v>
      </c>
      <c r="C38" s="11"/>
      <c r="D38" s="11"/>
      <c r="E38" s="10"/>
    </row>
    <row r="39" spans="1:5" x14ac:dyDescent="0.55000000000000004">
      <c r="A39" s="21" t="s">
        <v>15</v>
      </c>
      <c r="B39" s="10">
        <v>1</v>
      </c>
      <c r="C39" s="11"/>
      <c r="D39" s="11"/>
      <c r="E39" s="10"/>
    </row>
    <row r="40" spans="1:5" x14ac:dyDescent="0.55000000000000004">
      <c r="A40" s="21"/>
      <c r="B40" s="10">
        <v>2</v>
      </c>
      <c r="C40" s="11"/>
      <c r="D40" s="11"/>
      <c r="E40" s="10"/>
    </row>
    <row r="41" spans="1:5" x14ac:dyDescent="0.55000000000000004">
      <c r="A41" s="21"/>
      <c r="B41" s="10">
        <v>3</v>
      </c>
      <c r="C41" s="11"/>
      <c r="D41" s="11"/>
      <c r="E41" s="10"/>
    </row>
    <row r="42" spans="1:5" x14ac:dyDescent="0.55000000000000004">
      <c r="A42" s="21"/>
      <c r="B42" s="10">
        <v>4</v>
      </c>
      <c r="C42" s="11"/>
      <c r="D42" s="11"/>
      <c r="E42" s="10"/>
    </row>
    <row r="43" spans="1:5" x14ac:dyDescent="0.55000000000000004">
      <c r="A43" s="18" t="s">
        <v>16</v>
      </c>
      <c r="B43" s="10">
        <v>1</v>
      </c>
      <c r="C43" s="11"/>
      <c r="D43" s="11"/>
      <c r="E43" s="10"/>
    </row>
    <row r="44" spans="1:5" x14ac:dyDescent="0.55000000000000004">
      <c r="A44" s="19"/>
      <c r="B44" s="10">
        <v>2</v>
      </c>
      <c r="C44" s="11"/>
      <c r="D44" s="11"/>
      <c r="E44" s="10"/>
    </row>
    <row r="45" spans="1:5" x14ac:dyDescent="0.55000000000000004">
      <c r="A45" s="19"/>
      <c r="B45" s="10">
        <v>3</v>
      </c>
      <c r="C45" s="11"/>
      <c r="D45" s="11"/>
      <c r="E45" s="10"/>
    </row>
    <row r="46" spans="1:5" x14ac:dyDescent="0.55000000000000004">
      <c r="A46" s="20"/>
      <c r="B46" s="10">
        <v>4</v>
      </c>
      <c r="C46" s="11"/>
      <c r="D46" s="11"/>
      <c r="E46" s="10"/>
    </row>
    <row r="47" spans="1:5" x14ac:dyDescent="0.55000000000000004">
      <c r="A47" s="18" t="s">
        <v>17</v>
      </c>
      <c r="B47" s="10">
        <v>1</v>
      </c>
      <c r="C47" s="11"/>
      <c r="D47" s="11"/>
      <c r="E47" s="10"/>
    </row>
    <row r="48" spans="1:5" x14ac:dyDescent="0.55000000000000004">
      <c r="A48" s="19"/>
      <c r="B48" s="10">
        <v>2</v>
      </c>
      <c r="C48" s="11"/>
      <c r="D48" s="11"/>
      <c r="E48" s="10"/>
    </row>
    <row r="49" spans="1:6" x14ac:dyDescent="0.55000000000000004">
      <c r="A49" s="19"/>
      <c r="B49" s="10">
        <v>3</v>
      </c>
      <c r="C49" s="11"/>
      <c r="D49" s="11"/>
      <c r="E49" s="10"/>
    </row>
    <row r="50" spans="1:6" x14ac:dyDescent="0.55000000000000004">
      <c r="A50" s="19"/>
      <c r="B50" s="10">
        <v>4</v>
      </c>
      <c r="C50" s="11"/>
      <c r="D50" s="11"/>
      <c r="E50" s="10"/>
    </row>
    <row r="51" spans="1:6" x14ac:dyDescent="0.55000000000000004">
      <c r="A51" s="19"/>
      <c r="B51" s="10"/>
      <c r="C51" s="11"/>
      <c r="D51" s="11"/>
      <c r="E51" s="10"/>
    </row>
    <row r="52" spans="1:6" x14ac:dyDescent="0.55000000000000004">
      <c r="A52" s="19"/>
      <c r="B52" s="10"/>
      <c r="C52" s="11"/>
      <c r="D52" s="11"/>
      <c r="E52" s="10"/>
    </row>
    <row r="53" spans="1:6" x14ac:dyDescent="0.55000000000000004">
      <c r="A53" s="20"/>
      <c r="B53" s="10"/>
      <c r="C53" s="11"/>
      <c r="D53" s="11"/>
      <c r="E53" s="10"/>
    </row>
    <row r="54" spans="1:6" x14ac:dyDescent="0.55000000000000004">
      <c r="A54" s="15" t="s">
        <v>18</v>
      </c>
      <c r="B54" s="10"/>
      <c r="C54" s="11">
        <f>SUM(C2:C53)</f>
        <v>93800000</v>
      </c>
      <c r="D54" s="11">
        <f>SUM(D2:D53)</f>
        <v>71820000</v>
      </c>
      <c r="E54" s="11">
        <f>D54-C54</f>
        <v>-21980000</v>
      </c>
      <c r="F54" s="16"/>
    </row>
  </sheetData>
  <mergeCells count="12">
    <mergeCell ref="A47:A53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1401</vt:lpstr>
      <vt:lpstr>1402</vt:lpstr>
      <vt:lpstr>1403</vt:lpstr>
      <vt:lpstr>1404</vt:lpstr>
      <vt:lpstr>1405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amir hossein mostafaei</cp:lastModifiedBy>
  <dcterms:created xsi:type="dcterms:W3CDTF">2022-09-02T07:44:26Z</dcterms:created>
  <dcterms:modified xsi:type="dcterms:W3CDTF">2026-08-30T15:33:12Z</dcterms:modified>
</cp:coreProperties>
</file>